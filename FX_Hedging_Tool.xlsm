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Pricer" sheetId="1" r:id="rId1"/>
    <sheet name="Pitch" sheetId="2" r:id="rId2"/>
    <sheet name="Schedule" sheetId="3" r:id="rId3"/>
    <sheet name="Scenarios" sheetId="4" r:id="rId4"/>
    <sheet name="Distribution" sheetId="5" r:id="rId5"/>
    <sheet name="Market" sheetId="6" r:id="rId6"/>
    <sheet name="Notes" sheetId="7" r:id="rId7"/>
  </sheets>
  <definedNames>
    <definedName name="AvgFwd">Pricer!$C$14</definedName>
    <definedName name="Budget">Pricer!$C$9</definedName>
    <definedName name="DistTop">Distribution!$A$3</definedName>
    <definedName name="DriftView">Pricer!$C$28</definedName>
    <definedName name="Giveup">Pricer!$G$16</definedName>
    <definedName name="KOType">Pricer!$C$22</definedName>
    <definedName name="Leverage">Pricer!$C$21</definedName>
    <definedName name="MarginBp">Pricer!$C$23</definedName>
    <definedName name="McTop">Pricer!$J$13</definedName>
    <definedName name="MktTable">Market!$B$6:$G$20</definedName>
    <definedName name="NMonths">Pricer!$C$8</definedName>
    <definedName name="Notional">Pricer!$C$7</definedName>
    <definedName name="NPaths">Pricer!$C$26</definedName>
    <definedName name="Participation">Pricer!$C$19</definedName>
    <definedName name="PFStrike">Pricer!$F$17</definedName>
    <definedName name="Phi">IF(LEFT(Pricer!$C$6,6)="Export",1,-1)</definedName>
    <definedName name="PremFV">Schedule!$J$30</definedName>
    <definedName name="_xlnm.Print_Area" localSheetId="1">Pitch!$A$1:$B$30</definedName>
    <definedName name="_xlnm.Print_Area" localSheetId="0">Pricer!$A$1:$O$50</definedName>
    <definedName name="Protect">Pricer!$C$18</definedName>
    <definedName name="ScenTop">Scenarios!$A$3</definedName>
    <definedName name="Seed">Pricer!$C$27</definedName>
    <definedName name="Side">Pricer!$C$6</definedName>
    <definedName name="Spot">Pricer!$C$12</definedName>
    <definedName name="Status">Pricer!$E$10</definedName>
    <definedName name="TarfPV">Pricer!$H$18</definedName>
    <definedName name="TarfStrike">Pricer!$F$18</definedName>
    <definedName name="TarfTarget">Pricer!$C$20</definedName>
    <definedName name="TarfTop">Pricer!$F$23</definedName>
    <definedName name="TotalN">Pricer!$C$7*Pricer!$C$8</definedName>
    <definedName name="VolShift">Pricer!$C$13</definedName>
  </definedNames>
  <calcPr calcId="124519" fullCalcOnLoad="1"/>
</workbook>
</file>

<file path=xl/sharedStrings.xml><?xml version="1.0" encoding="utf-8"?>
<sst xmlns="http://schemas.openxmlformats.org/spreadsheetml/2006/main" count="144" uniqueCount="118">
  <si>
    <t>FX Hedging Tool  |  EURUSD corporate hedging proposals</t>
  </si>
  <si>
    <t>Yellow = input. Blue = live formula. Grey = Monte Carlo output (macro). Market data is illustrative.</t>
  </si>
  <si>
    <t>CLIENT</t>
  </si>
  <si>
    <t>Client profile</t>
  </si>
  <si>
    <t>Exporter (receives USD)</t>
  </si>
  <si>
    <t>USD amount per month</t>
  </si>
  <si>
    <t>Number of monthly flows (1-24)</t>
  </si>
  <si>
    <t>Budget rate (EURUSD)</t>
  </si>
  <si>
    <t>MARKET</t>
  </si>
  <si>
    <t>EURUSD spot</t>
  </si>
  <si>
    <t>Implied vol shift (vol points)</t>
  </si>
  <si>
    <t>Average forward over the flows</t>
  </si>
  <si>
    <t>Forward points vs spot (pips)</t>
  </si>
  <si>
    <t>STRUCTURES</t>
  </si>
  <si>
    <t>Protection strike (option and collar)</t>
  </si>
  <si>
    <t>Participation (participating forward)</t>
  </si>
  <si>
    <t>TARF target (pips of accrued gain)</t>
  </si>
  <si>
    <t>TARF leverage</t>
  </si>
  <si>
    <t>TARF knock-out type</t>
  </si>
  <si>
    <t>full</t>
  </si>
  <si>
    <t>Sales margin (bp of notional)</t>
  </si>
  <si>
    <t>SIMULATION</t>
  </si>
  <si>
    <t>Monte Carlo paths</t>
  </si>
  <si>
    <t>Random seed</t>
  </si>
  <si>
    <t>Spot drift for statistics</t>
  </si>
  <si>
    <t>Spot unchanged (desk view)</t>
  </si>
  <si>
    <t>Pre-computed results (20,000 paths, seed 42). Change the inputs and click 'Price all' to re-run.</t>
  </si>
  <si>
    <t>Strategy</t>
  </si>
  <si>
    <t>Strike / rate</t>
  </si>
  <si>
    <t>Strike 2 / param</t>
  </si>
  <si>
    <t>Mid value to client (EUR)</t>
  </si>
  <si>
    <t>Upfront premium (EUR)</t>
  </si>
  <si>
    <t>Expected rate</t>
  </si>
  <si>
    <t>Worst 5%</t>
  </si>
  <si>
    <t>Best 5%</t>
  </si>
  <si>
    <t>P(miss budget)</t>
  </si>
  <si>
    <t>P(over-hedged)</t>
  </si>
  <si>
    <t>Unhedged</t>
  </si>
  <si>
    <t>Forward</t>
  </si>
  <si>
    <t>Vanilla option</t>
  </si>
  <si>
    <t>Zero-cost collar</t>
  </si>
  <si>
    <t>Participating forward</t>
  </si>
  <si>
    <t>TARF</t>
  </si>
  <si>
    <t>Yellow strikes are solved by 'Solve zero-cost strikes' but can be typed in: the mid value then shows what the client pays (negative) or receives.</t>
  </si>
  <si>
    <t>Mid value: forward, option, collar and participating forward = live Garman-Kohlhagen formulas (Schedule sheet). TARF = Monte Carlo.</t>
  </si>
  <si>
    <t>TARF anatomy (Monte Carlo)</t>
  </si>
  <si>
    <t>Probability of knock-out</t>
  </si>
  <si>
    <t>Expected life (fixings)</t>
  </si>
  <si>
    <t>P(at least one leveraged fixing)</t>
  </si>
  <si>
    <t>Expected number of leveraged fixings</t>
  </si>
  <si>
    <t>Live pricing per fixing: forward, discount factors, smile vol and Garman-Kohlhagen (rows beyond the number of flows are inactive)</t>
  </si>
  <si>
    <t>Fixing</t>
  </si>
  <si>
    <t>Active</t>
  </si>
  <si>
    <t>T (y)</t>
  </si>
  <si>
    <t>Fwd pts</t>
  </si>
  <si>
    <t>DF USD</t>
  </si>
  <si>
    <t>DF EUR</t>
  </si>
  <si>
    <t>r USD (cc)</t>
  </si>
  <si>
    <t>r EUR (cc)</t>
  </si>
  <si>
    <t>Fwd hedge rate</t>
  </si>
  <si>
    <t>Fwd value (EUR)</t>
  </si>
  <si>
    <t>Vol</t>
  </si>
  <si>
    <t>d1</t>
  </si>
  <si>
    <t>d2</t>
  </si>
  <si>
    <t>Price (USD/EUR)</t>
  </si>
  <si>
    <t>Value (EUR)</t>
  </si>
  <si>
    <t>Protect price</t>
  </si>
  <si>
    <t>Sold price</t>
  </si>
  <si>
    <t>Total</t>
  </si>
  <si>
    <t>Option premium carried to the average settlement date (EUR):</t>
  </si>
  <si>
    <t>Achieved average rate if EURUSD moves today and stays there (premium included), live formulas</t>
  </si>
  <si>
    <t>Spot move</t>
  </si>
  <si>
    <t>EURUSD</t>
  </si>
  <si>
    <t>Monte Carlo outcomes sorted from the client's best to worst (achieved average rate, macro output)</t>
  </si>
  <si>
    <t>Percentile</t>
  </si>
  <si>
    <t>EURUSD market snapshot (illustrative, edit the yellow cells)</t>
  </si>
  <si>
    <t>Rates: continuously compounded zero rates. Smile quoted as ATM, 25-delta risk reversal (EUR call minus EUR put) and 25-delta butterfly.</t>
  </si>
  <si>
    <t>Tenor</t>
  </si>
  <si>
    <t>Years</t>
  </si>
  <si>
    <t>USD rate %</t>
  </si>
  <si>
    <t>EUR rate %</t>
  </si>
  <si>
    <t>ATM vol %</t>
  </si>
  <si>
    <t>25d RR %</t>
  </si>
  <si>
    <t>25d BF %</t>
  </si>
  <si>
    <t>Fwd points</t>
  </si>
  <si>
    <t>1W</t>
  </si>
  <si>
    <t>1M</t>
  </si>
  <si>
    <t>2M</t>
  </si>
  <si>
    <t>3M</t>
  </si>
  <si>
    <t>6M</t>
  </si>
  <si>
    <t>9M</t>
  </si>
  <si>
    <t>1Y</t>
  </si>
  <si>
    <t>18M</t>
  </si>
  <si>
    <t>2Y</t>
  </si>
  <si>
    <t>Smile check: implied vol (%) by moneyness</t>
  </si>
  <si>
    <t>Strike / fwd</t>
  </si>
  <si>
    <t>Protecting your USD flows: hedging proposal</t>
  </si>
  <si>
    <t>Indicative mid-market levels built from the Pricer sheet. Illustrative market data, not an offer.</t>
  </si>
  <si>
    <t>Your situation</t>
  </si>
  <si>
    <t>Our proposals</t>
  </si>
  <si>
    <t>A more aggressive alternative, for discussion only</t>
  </si>
  <si>
    <t>Key risks</t>
  </si>
  <si>
    <t>A forward or a collar gives up some or all of the upside. An option premium is paid whatever happens. A TARF can force conversions above your real flows and leaves you unhedged after knock-out. Suitability and appropriateness checks apply.</t>
  </si>
  <si>
    <t>Next steps</t>
  </si>
  <si>
    <t>1. Agree the hedge ratio and the share of the budget to protect.  2. ISDA / FBF master agreement and credit line.  3. Live pricing and execution.</t>
  </si>
  <si>
    <t>How to use</t>
  </si>
  <si>
    <t>1. Enable macros (the workbook recalculates on opening). 2. Fill the yellow cells on the Pricer sheet. The forward, option, collar and participating forward values, the Scenarios grid and the Pitch update instantly. 3. 'Solve zero-cost strikes' re-solves the collar give-up, the participating forward and the TARF strikes. 4. 'Run Monte Carlo' refreshes the TARF value and the statistics. 'Price all' does both.</t>
  </si>
  <si>
    <t>What is a formula and what is VBA</t>
  </si>
  <si>
    <t>Formulas: Schedule sheet (per fixing: forward, discount factors, continuously compounded rates, smile vol, d1, d2, Garman-Kohlhagen prices with NORMSDIST, option values), Pricer mid values and premium, Scenarios grid (closed form for a constant spot, TARF included), Pitch text. VBA: market worksheet functions FX_FORWARD, FX_DFDOM, FX_DFFOR, FX_VOL, FX_POINTS, FX_AVGFWD, FX_ATMVOL (curve interpolation and smile iteration), bisection solvers, Monte Carlo.</t>
  </si>
  <si>
    <t>Conventions</t>
  </si>
  <si>
    <t>EURUSD is quoted in USD per EUR. The client's home currency is EUR and its flows are in USD. Exporter (receives USD): risk = EURUSD rises, protection = EUR call / USD put, lower rate is better. Importer (pays USD): risk = EURUSD falls, protection = EUR put / USD call, higher rate is better.</t>
  </si>
  <si>
    <t>Methodology</t>
  </si>
  <si>
    <t>Forwards: covered interest parity F(T) = S x DF_EUR(T) / DF_USD(T). Smile: implied vol is a quadratic in forward delta through ATM, 25d RR and 25d BF, solved by fixed-point iteration. Options: Garman-Kohlhagen with the smile vol of each strike.</t>
  </si>
  <si>
    <t>Every structure is a set of conversion legs: n USD converted at a hedge rate R instead of the spot S, home-currency gain = phi x n x (1/R - 1/S). Mid value = sum DF_USD(t) / S0 x E[gain x S(t)]. Zero-cost strikes are solved by bisection, minus an optional sales margin.</t>
  </si>
  <si>
    <t>TARF: on each fixing, if favourable the client converts N at the strike and accrues the gain; otherwise it converts leverage x N. It knocks out once the accrued gain reaches the target (full: last fixing paid in full; exact: scaled to hit the target). Valued by Monte Carlo under log-normal dynamics with the ATM term structure, common random numbers for the strike solve.</t>
  </si>
  <si>
    <t>Statistics: by default the spot is expected to stay where it is (desk view: forward points are a carry cost, not a forecast). Pricing always uses the risk-neutral forward. Random numbers: MRG32k3a generator with antithetic variates, so every machine gives the same results.</t>
  </si>
  <si>
    <t>Limitations</t>
  </si>
  <si>
    <t>The TARF ignores the smile (a local-vol model would move the zero-cost strike by tens of pips). Deterministic rates, no business-day calendar, premium carried at the EUR rate to the average settlement date. No CVA or capital charge: zero-cost means zero-cost mid-market.</t>
  </si>
</sst>
</file>

<file path=xl/styles.xml><?xml version="1.0" encoding="utf-8"?>
<styleSheet xmlns="http://schemas.openxmlformats.org/spreadsheetml/2006/main">
  <numFmts count="6">
    <numFmt numFmtId="164" formatCode="#,##0"/>
    <numFmt numFmtId="165" formatCode="0.0000"/>
    <numFmt numFmtId="166" formatCode="0.00"/>
    <numFmt numFmtId="167" formatCode="0%"/>
    <numFmt numFmtId="168" formatCode="0.000000"/>
    <numFmt numFmtId="169" formatCode="0.0%"/>
  </numFmts>
  <fonts count="9">
    <font>
      <sz val="11"/>
      <color theme="1"/>
      <name val="Calibri"/>
      <family val="2"/>
      <scheme val="minor"/>
    </font>
    <font>
      <b/>
      <sz val="18"/>
      <color rgb="FF14325C"/>
      <name val="Calibri"/>
      <family val="2"/>
      <scheme val="minor"/>
    </font>
    <font>
      <i/>
      <sz val="11"/>
      <color rgb="FF52514E"/>
      <name val="Calibri"/>
      <family val="2"/>
      <scheme val="minor"/>
    </font>
    <font>
      <b/>
      <sz val="11"/>
      <color rgb="FFFFFFFF"/>
      <name val="Calibri"/>
      <family val="2"/>
      <scheme val="minor"/>
    </font>
    <font>
      <sz val="11"/>
      <color rgb="FF0B0B0B"/>
      <name val="Calibri"/>
      <family val="2"/>
      <scheme val="minor"/>
    </font>
    <font>
      <sz val="11"/>
      <color rgb="FF0000FF"/>
      <name val="Calibri"/>
      <family val="2"/>
      <scheme val="minor"/>
    </font>
    <font>
      <b/>
      <sz val="11"/>
      <color theme="1"/>
      <name val="Calibri"/>
      <family val="2"/>
      <scheme val="minor"/>
    </font>
    <font>
      <b/>
      <sz val="13"/>
      <color rgb="FF14325C"/>
      <name val="Calibri"/>
      <family val="2"/>
      <scheme val="minor"/>
    </font>
    <font>
      <b/>
      <sz val="12"/>
      <color theme="1"/>
      <name val="Calibri"/>
      <family val="2"/>
      <scheme val="minor"/>
    </font>
  </fonts>
  <fills count="7">
    <fill>
      <patternFill patternType="none"/>
    </fill>
    <fill>
      <patternFill patternType="gray125"/>
    </fill>
    <fill>
      <patternFill patternType="solid">
        <fgColor rgb="FF14325C"/>
        <bgColor indexed="64"/>
      </patternFill>
    </fill>
    <fill>
      <patternFill patternType="solid">
        <fgColor rgb="FFFFF6D5"/>
        <bgColor indexed="64"/>
      </patternFill>
    </fill>
    <fill>
      <patternFill patternType="solid">
        <fgColor rgb="FF5B6B80"/>
        <bgColor indexed="64"/>
      </patternFill>
    </fill>
    <fill>
      <patternFill patternType="solid">
        <fgColor rgb="FFEEF3FA"/>
        <bgColor indexed="64"/>
      </patternFill>
    </fill>
    <fill>
      <patternFill patternType="solid">
        <fgColor rgb="FFF3F3F1"/>
        <bgColor indexed="64"/>
      </patternFill>
    </fill>
  </fills>
  <borders count="6">
    <border>
      <left/>
      <right/>
      <top/>
      <bottom/>
      <diagonal/>
    </border>
    <border>
      <left style="thin">
        <color rgb="FFD9C27A"/>
      </left>
      <right style="thin">
        <color rgb="FFD9C27A"/>
      </right>
      <top style="thin">
        <color rgb="FFD9C27A"/>
      </top>
      <bottom style="thin">
        <color rgb="FFD9C27A"/>
      </bottom>
      <diagonal/>
    </border>
    <border>
      <left style="thin">
        <color auto="1"/>
      </left>
      <right style="thin">
        <color auto="1"/>
      </right>
      <top style="thin">
        <color auto="1"/>
      </top>
      <bottom style="thin">
        <color auto="1"/>
      </bottom>
      <diagonal/>
    </border>
    <border>
      <left style="thin">
        <color rgb="FFC9D6EA"/>
      </left>
      <right style="thin">
        <color rgb="FFC9D6EA"/>
      </right>
      <top style="thin">
        <color rgb="FFC9D6EA"/>
      </top>
      <bottom style="thin">
        <color rgb="FFC9D6EA"/>
      </bottom>
      <diagonal/>
    </border>
    <border>
      <left style="thin">
        <color rgb="FFD6D5D0"/>
      </left>
      <right style="thin">
        <color rgb="FFD6D5D0"/>
      </right>
      <top style="thin">
        <color rgb="FFD6D5D0"/>
      </top>
      <bottom style="thin">
        <color rgb="FFD6D5D0"/>
      </bottom>
      <diagonal/>
    </border>
    <border>
      <left/>
      <right/>
      <top style="thin">
        <color auto="1"/>
      </top>
      <bottom/>
      <diagonal/>
    </border>
  </borders>
  <cellStyleXfs count="1">
    <xf numFmtId="0" fontId="0" fillId="0" borderId="0"/>
  </cellStyleXfs>
  <cellXfs count="31">
    <xf numFmtId="0" fontId="0" fillId="0" borderId="0" xfId="0"/>
    <xf numFmtId="0" fontId="1" fillId="0" borderId="0" xfId="0" applyFont="1"/>
    <xf numFmtId="0" fontId="2" fillId="0" borderId="0" xfId="0" applyFont="1"/>
    <xf numFmtId="0" fontId="3" fillId="2" borderId="0" xfId="0" applyFont="1" applyFill="1"/>
    <xf numFmtId="0" fontId="4" fillId="0" borderId="0" xfId="0" applyFont="1"/>
    <xf numFmtId="0" fontId="5" fillId="3" borderId="1" xfId="0" applyFont="1" applyFill="1" applyBorder="1" applyAlignment="1">
      <alignment horizontal="left"/>
    </xf>
    <xf numFmtId="164" fontId="5" fillId="3" borderId="1" xfId="0" applyNumberFormat="1" applyFont="1" applyFill="1" applyBorder="1"/>
    <xf numFmtId="165" fontId="5" fillId="3" borderId="1" xfId="0" applyNumberFormat="1" applyFont="1" applyFill="1" applyBorder="1"/>
    <xf numFmtId="0" fontId="3" fillId="2" borderId="2" xfId="0" applyFont="1" applyFill="1" applyBorder="1" applyAlignment="1">
      <alignment horizontal="center" vertical="center" wrapText="1"/>
    </xf>
    <xf numFmtId="0" fontId="3" fillId="4" borderId="2" xfId="0" applyFont="1" applyFill="1" applyBorder="1" applyAlignment="1">
      <alignment horizontal="center" vertical="center" wrapText="1"/>
    </xf>
    <xf numFmtId="166" fontId="5" fillId="3" borderId="1" xfId="0" applyNumberFormat="1" applyFont="1" applyFill="1" applyBorder="1"/>
    <xf numFmtId="0" fontId="6" fillId="0" borderId="3" xfId="0" applyFont="1" applyBorder="1"/>
    <xf numFmtId="165" fontId="0" fillId="0" borderId="3" xfId="0" applyNumberFormat="1" applyBorder="1"/>
    <xf numFmtId="164" fontId="0" fillId="5" borderId="3" xfId="0" applyNumberFormat="1" applyFill="1" applyBorder="1"/>
    <xf numFmtId="165" fontId="0" fillId="6" borderId="4" xfId="0" applyNumberFormat="1" applyFill="1" applyBorder="1"/>
    <xf numFmtId="167" fontId="0" fillId="6" borderId="4" xfId="0" applyNumberFormat="1" applyFill="1" applyBorder="1"/>
    <xf numFmtId="165" fontId="0" fillId="5" borderId="3" xfId="0" applyNumberFormat="1" applyFill="1" applyBorder="1"/>
    <xf numFmtId="167" fontId="0" fillId="5" borderId="3" xfId="0" applyNumberFormat="1" applyFill="1" applyBorder="1"/>
    <xf numFmtId="164" fontId="0" fillId="6" borderId="4" xfId="0" applyNumberFormat="1" applyFill="1" applyBorder="1"/>
    <xf numFmtId="167" fontId="5" fillId="3" borderId="1" xfId="0" applyNumberFormat="1" applyFont="1" applyFill="1" applyBorder="1"/>
    <xf numFmtId="166" fontId="0" fillId="6" borderId="4" xfId="0" applyNumberFormat="1" applyFill="1" applyBorder="1"/>
    <xf numFmtId="0" fontId="7" fillId="0" borderId="0" xfId="0" applyFont="1"/>
    <xf numFmtId="0" fontId="8" fillId="0" borderId="0" xfId="0" applyFont="1" applyAlignment="1">
      <alignment vertical="top" wrapText="1"/>
    </xf>
    <xf numFmtId="0" fontId="0" fillId="0" borderId="0" xfId="0" applyAlignment="1">
      <alignment vertical="top" wrapText="1"/>
    </xf>
    <xf numFmtId="1" fontId="0" fillId="0" borderId="0" xfId="0" applyNumberFormat="1"/>
    <xf numFmtId="165" fontId="0" fillId="0" borderId="0" xfId="0" applyNumberFormat="1"/>
    <xf numFmtId="168" fontId="0" fillId="0" borderId="0" xfId="0" applyNumberFormat="1"/>
    <xf numFmtId="169" fontId="0" fillId="0" borderId="0" xfId="0" applyNumberFormat="1"/>
    <xf numFmtId="164" fontId="0" fillId="0" borderId="0" xfId="0" applyNumberFormat="1"/>
    <xf numFmtId="164" fontId="6" fillId="0" borderId="5" xfId="0" applyNumberFormat="1" applyFont="1" applyBorder="1"/>
    <xf numFmtId="166" fontId="0" fillId="0" borderId="0" xfId="0" applyNumberFormat="1"/>
  </cellXfs>
  <cellStyles count="1">
    <cellStyle name="Normal" xfId="0" builtinId="0"/>
  </cellStyles>
  <dxfs count="1">
    <dxf>
      <font>
        <color rgb="FFB5B4AE"/>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 Id="rId11"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baseline="0"/>
            </a:pPr>
            <a:r>
              <a:rPr lang="en-US" sz="1200" b="1" baseline="0"/>
              <a:t>Achieved rate by scenario (EURUSD moves and stays there)</a:t>
            </a:r>
          </a:p>
        </c:rich>
      </c:tx>
      <c:layout/>
    </c:title>
    <c:plotArea>
      <c:layout/>
      <c:scatterChart>
        <c:scatterStyle val="lineMarker"/>
        <c:ser>
          <c:idx val="0"/>
          <c:order val="0"/>
          <c:tx>
            <c:v>Unhedged</c:v>
          </c:tx>
          <c:spPr>
            <a:ln w="19050">
              <a:solidFill>
                <a:srgbClr val="8A8985"/>
              </a:solidFill>
              <a:prstDash val="dash"/>
            </a:ln>
          </c:spPr>
          <c:marker>
            <c:symbol val="none"/>
          </c:marker>
          <c:xVal>
            <c:numRef>
              <c:f>Scenarios!$B$3:$B$63</c:f>
              <c:numCache>
                <c:formatCode>General</c:formatCode>
                <c:ptCount val="61"/>
                <c:pt idx="0">
                  <c:v>0.99025</c:v>
                </c:pt>
                <c:pt idx="1">
                  <c:v>0.996075</c:v>
                </c:pt>
                <c:pt idx="2">
                  <c:v>1.0019</c:v>
                </c:pt>
                <c:pt idx="3">
                  <c:v>1.007725</c:v>
                </c:pt>
                <c:pt idx="4">
                  <c:v>1.01355</c:v>
                </c:pt>
                <c:pt idx="5">
                  <c:v>1.019375</c:v>
                </c:pt>
                <c:pt idx="6">
                  <c:v>1.0252</c:v>
                </c:pt>
                <c:pt idx="7">
                  <c:v>1.031025</c:v>
                </c:pt>
                <c:pt idx="8">
                  <c:v>1.03685</c:v>
                </c:pt>
                <c:pt idx="9">
                  <c:v>1.042675</c:v>
                </c:pt>
                <c:pt idx="10">
                  <c:v>1.0485</c:v>
                </c:pt>
                <c:pt idx="11">
                  <c:v>1.054325</c:v>
                </c:pt>
                <c:pt idx="12">
                  <c:v>1.06015</c:v>
                </c:pt>
                <c:pt idx="13">
                  <c:v>1.065975</c:v>
                </c:pt>
                <c:pt idx="14">
                  <c:v>1.0718</c:v>
                </c:pt>
                <c:pt idx="15">
                  <c:v>1.077625</c:v>
                </c:pt>
                <c:pt idx="16">
                  <c:v>1.08345</c:v>
                </c:pt>
                <c:pt idx="17">
                  <c:v>1.089275</c:v>
                </c:pt>
                <c:pt idx="18">
                  <c:v>1.0951</c:v>
                </c:pt>
                <c:pt idx="19">
                  <c:v>1.100925</c:v>
                </c:pt>
                <c:pt idx="20">
                  <c:v>1.10675</c:v>
                </c:pt>
                <c:pt idx="21">
                  <c:v>1.112575</c:v>
                </c:pt>
                <c:pt idx="22">
                  <c:v>1.1184</c:v>
                </c:pt>
                <c:pt idx="23">
                  <c:v>1.124225</c:v>
                </c:pt>
                <c:pt idx="24">
                  <c:v>1.13005</c:v>
                </c:pt>
                <c:pt idx="25">
                  <c:v>1.135875</c:v>
                </c:pt>
                <c:pt idx="26">
                  <c:v>1.1417</c:v>
                </c:pt>
                <c:pt idx="27">
                  <c:v>1.147525</c:v>
                </c:pt>
                <c:pt idx="28">
                  <c:v>1.15335</c:v>
                </c:pt>
                <c:pt idx="29">
                  <c:v>1.159175</c:v>
                </c:pt>
                <c:pt idx="30">
                  <c:v>1.165</c:v>
                </c:pt>
                <c:pt idx="31">
                  <c:v>1.170825</c:v>
                </c:pt>
                <c:pt idx="32">
                  <c:v>1.17665</c:v>
                </c:pt>
                <c:pt idx="33">
                  <c:v>1.182475</c:v>
                </c:pt>
                <c:pt idx="34">
                  <c:v>1.1883</c:v>
                </c:pt>
                <c:pt idx="35">
                  <c:v>1.194125</c:v>
                </c:pt>
                <c:pt idx="36">
                  <c:v>1.19995</c:v>
                </c:pt>
                <c:pt idx="37">
                  <c:v>1.205775</c:v>
                </c:pt>
                <c:pt idx="38">
                  <c:v>1.2116</c:v>
                </c:pt>
                <c:pt idx="39">
                  <c:v>1.217425</c:v>
                </c:pt>
                <c:pt idx="40">
                  <c:v>1.22325</c:v>
                </c:pt>
                <c:pt idx="41">
                  <c:v>1.229075</c:v>
                </c:pt>
                <c:pt idx="42">
                  <c:v>1.2349</c:v>
                </c:pt>
                <c:pt idx="43">
                  <c:v>1.240725</c:v>
                </c:pt>
                <c:pt idx="44">
                  <c:v>1.24655</c:v>
                </c:pt>
                <c:pt idx="45">
                  <c:v>1.252375</c:v>
                </c:pt>
                <c:pt idx="46">
                  <c:v>1.2582</c:v>
                </c:pt>
                <c:pt idx="47">
                  <c:v>1.264025</c:v>
                </c:pt>
                <c:pt idx="48">
                  <c:v>1.26985</c:v>
                </c:pt>
                <c:pt idx="49">
                  <c:v>1.275675</c:v>
                </c:pt>
                <c:pt idx="50">
                  <c:v>1.2815</c:v>
                </c:pt>
                <c:pt idx="51">
                  <c:v>1.287325</c:v>
                </c:pt>
                <c:pt idx="52">
                  <c:v>1.29315</c:v>
                </c:pt>
                <c:pt idx="53">
                  <c:v>1.298975</c:v>
                </c:pt>
                <c:pt idx="54">
                  <c:v>1.3048</c:v>
                </c:pt>
                <c:pt idx="55">
                  <c:v>1.310625</c:v>
                </c:pt>
                <c:pt idx="56">
                  <c:v>1.31645</c:v>
                </c:pt>
                <c:pt idx="57">
                  <c:v>1.322275</c:v>
                </c:pt>
                <c:pt idx="58">
                  <c:v>1.3281</c:v>
                </c:pt>
                <c:pt idx="59">
                  <c:v>1.333925</c:v>
                </c:pt>
                <c:pt idx="60">
                  <c:v>1.33975</c:v>
                </c:pt>
              </c:numCache>
            </c:numRef>
          </c:xVal>
          <c:yVal>
            <c:numRef>
              <c:f>Scenarios!$C$3:$C$63</c:f>
              <c:numCache>
                <c:formatCode>General</c:formatCode>
                <c:ptCount val="61"/>
                <c:pt idx="0">
                  <c:v>0.99025</c:v>
                </c:pt>
                <c:pt idx="1">
                  <c:v>0.996075</c:v>
                </c:pt>
                <c:pt idx="2">
                  <c:v>1.0019</c:v>
                </c:pt>
                <c:pt idx="3">
                  <c:v>1.007725</c:v>
                </c:pt>
                <c:pt idx="4">
                  <c:v>1.01355</c:v>
                </c:pt>
                <c:pt idx="5">
                  <c:v>1.019375</c:v>
                </c:pt>
                <c:pt idx="6">
                  <c:v>1.0252</c:v>
                </c:pt>
                <c:pt idx="7">
                  <c:v>1.031025</c:v>
                </c:pt>
                <c:pt idx="8">
                  <c:v>1.03685</c:v>
                </c:pt>
                <c:pt idx="9">
                  <c:v>1.042675</c:v>
                </c:pt>
                <c:pt idx="10">
                  <c:v>1.0485</c:v>
                </c:pt>
                <c:pt idx="11">
                  <c:v>1.054325</c:v>
                </c:pt>
                <c:pt idx="12">
                  <c:v>1.06015</c:v>
                </c:pt>
                <c:pt idx="13">
                  <c:v>1.065975</c:v>
                </c:pt>
                <c:pt idx="14">
                  <c:v>1.0718</c:v>
                </c:pt>
                <c:pt idx="15">
                  <c:v>1.077625</c:v>
                </c:pt>
                <c:pt idx="16">
                  <c:v>1.08345</c:v>
                </c:pt>
                <c:pt idx="17">
                  <c:v>1.089275</c:v>
                </c:pt>
                <c:pt idx="18">
                  <c:v>1.0951</c:v>
                </c:pt>
                <c:pt idx="19">
                  <c:v>1.100925</c:v>
                </c:pt>
                <c:pt idx="20">
                  <c:v>1.10675</c:v>
                </c:pt>
                <c:pt idx="21">
                  <c:v>1.112575</c:v>
                </c:pt>
                <c:pt idx="22">
                  <c:v>1.1184</c:v>
                </c:pt>
                <c:pt idx="23">
                  <c:v>1.124225</c:v>
                </c:pt>
                <c:pt idx="24">
                  <c:v>1.13005</c:v>
                </c:pt>
                <c:pt idx="25">
                  <c:v>1.135875</c:v>
                </c:pt>
                <c:pt idx="26">
                  <c:v>1.1417</c:v>
                </c:pt>
                <c:pt idx="27">
                  <c:v>1.147525</c:v>
                </c:pt>
                <c:pt idx="28">
                  <c:v>1.15335</c:v>
                </c:pt>
                <c:pt idx="29">
                  <c:v>1.159175</c:v>
                </c:pt>
                <c:pt idx="30">
                  <c:v>1.165</c:v>
                </c:pt>
                <c:pt idx="31">
                  <c:v>1.170825</c:v>
                </c:pt>
                <c:pt idx="32">
                  <c:v>1.17665</c:v>
                </c:pt>
                <c:pt idx="33">
                  <c:v>1.182475</c:v>
                </c:pt>
                <c:pt idx="34">
                  <c:v>1.1883</c:v>
                </c:pt>
                <c:pt idx="35">
                  <c:v>1.194125</c:v>
                </c:pt>
                <c:pt idx="36">
                  <c:v>1.19995</c:v>
                </c:pt>
                <c:pt idx="37">
                  <c:v>1.205775</c:v>
                </c:pt>
                <c:pt idx="38">
                  <c:v>1.2116</c:v>
                </c:pt>
                <c:pt idx="39">
                  <c:v>1.217425</c:v>
                </c:pt>
                <c:pt idx="40">
                  <c:v>1.22325</c:v>
                </c:pt>
                <c:pt idx="41">
                  <c:v>1.229075</c:v>
                </c:pt>
                <c:pt idx="42">
                  <c:v>1.2349</c:v>
                </c:pt>
                <c:pt idx="43">
                  <c:v>1.240725</c:v>
                </c:pt>
                <c:pt idx="44">
                  <c:v>1.24655</c:v>
                </c:pt>
                <c:pt idx="45">
                  <c:v>1.252375</c:v>
                </c:pt>
                <c:pt idx="46">
                  <c:v>1.2582</c:v>
                </c:pt>
                <c:pt idx="47">
                  <c:v>1.264025</c:v>
                </c:pt>
                <c:pt idx="48">
                  <c:v>1.26985</c:v>
                </c:pt>
                <c:pt idx="49">
                  <c:v>1.275675</c:v>
                </c:pt>
                <c:pt idx="50">
                  <c:v>1.2815</c:v>
                </c:pt>
                <c:pt idx="51">
                  <c:v>1.287325</c:v>
                </c:pt>
                <c:pt idx="52">
                  <c:v>1.29315</c:v>
                </c:pt>
                <c:pt idx="53">
                  <c:v>1.298975</c:v>
                </c:pt>
                <c:pt idx="54">
                  <c:v>1.3048</c:v>
                </c:pt>
                <c:pt idx="55">
                  <c:v>1.310625</c:v>
                </c:pt>
                <c:pt idx="56">
                  <c:v>1.31645</c:v>
                </c:pt>
                <c:pt idx="57">
                  <c:v>1.322275</c:v>
                </c:pt>
                <c:pt idx="58">
                  <c:v>1.3281</c:v>
                </c:pt>
                <c:pt idx="59">
                  <c:v>1.333925</c:v>
                </c:pt>
                <c:pt idx="60">
                  <c:v>1.33975</c:v>
                </c:pt>
              </c:numCache>
            </c:numRef>
          </c:yVal>
        </c:ser>
        <c:ser>
          <c:idx val="1"/>
          <c:order val="1"/>
          <c:tx>
            <c:v>Forward</c:v>
          </c:tx>
          <c:spPr>
            <a:ln w="28575">
              <a:solidFill>
                <a:srgbClr val="2A78D6"/>
              </a:solidFill>
              <a:prstDash val="solid"/>
            </a:ln>
          </c:spPr>
          <c:marker>
            <c:symbol val="none"/>
          </c:marker>
          <c:xVal>
            <c:numRef>
              <c:f>Scenarios!$B$3:$B$63</c:f>
              <c:numCache>
                <c:formatCode>General</c:formatCode>
                <c:ptCount val="61"/>
                <c:pt idx="0">
                  <c:v>0.99025</c:v>
                </c:pt>
                <c:pt idx="1">
                  <c:v>0.996075</c:v>
                </c:pt>
                <c:pt idx="2">
                  <c:v>1.0019</c:v>
                </c:pt>
                <c:pt idx="3">
                  <c:v>1.007725</c:v>
                </c:pt>
                <c:pt idx="4">
                  <c:v>1.01355</c:v>
                </c:pt>
                <c:pt idx="5">
                  <c:v>1.019375</c:v>
                </c:pt>
                <c:pt idx="6">
                  <c:v>1.0252</c:v>
                </c:pt>
                <c:pt idx="7">
                  <c:v>1.031025</c:v>
                </c:pt>
                <c:pt idx="8">
                  <c:v>1.03685</c:v>
                </c:pt>
                <c:pt idx="9">
                  <c:v>1.042675</c:v>
                </c:pt>
                <c:pt idx="10">
                  <c:v>1.0485</c:v>
                </c:pt>
                <c:pt idx="11">
                  <c:v>1.054325</c:v>
                </c:pt>
                <c:pt idx="12">
                  <c:v>1.06015</c:v>
                </c:pt>
                <c:pt idx="13">
                  <c:v>1.065975</c:v>
                </c:pt>
                <c:pt idx="14">
                  <c:v>1.0718</c:v>
                </c:pt>
                <c:pt idx="15">
                  <c:v>1.077625</c:v>
                </c:pt>
                <c:pt idx="16">
                  <c:v>1.08345</c:v>
                </c:pt>
                <c:pt idx="17">
                  <c:v>1.089275</c:v>
                </c:pt>
                <c:pt idx="18">
                  <c:v>1.0951</c:v>
                </c:pt>
                <c:pt idx="19">
                  <c:v>1.100925</c:v>
                </c:pt>
                <c:pt idx="20">
                  <c:v>1.10675</c:v>
                </c:pt>
                <c:pt idx="21">
                  <c:v>1.112575</c:v>
                </c:pt>
                <c:pt idx="22">
                  <c:v>1.1184</c:v>
                </c:pt>
                <c:pt idx="23">
                  <c:v>1.124225</c:v>
                </c:pt>
                <c:pt idx="24">
                  <c:v>1.13005</c:v>
                </c:pt>
                <c:pt idx="25">
                  <c:v>1.135875</c:v>
                </c:pt>
                <c:pt idx="26">
                  <c:v>1.1417</c:v>
                </c:pt>
                <c:pt idx="27">
                  <c:v>1.147525</c:v>
                </c:pt>
                <c:pt idx="28">
                  <c:v>1.15335</c:v>
                </c:pt>
                <c:pt idx="29">
                  <c:v>1.159175</c:v>
                </c:pt>
                <c:pt idx="30">
                  <c:v>1.165</c:v>
                </c:pt>
                <c:pt idx="31">
                  <c:v>1.170825</c:v>
                </c:pt>
                <c:pt idx="32">
                  <c:v>1.17665</c:v>
                </c:pt>
                <c:pt idx="33">
                  <c:v>1.182475</c:v>
                </c:pt>
                <c:pt idx="34">
                  <c:v>1.1883</c:v>
                </c:pt>
                <c:pt idx="35">
                  <c:v>1.194125</c:v>
                </c:pt>
                <c:pt idx="36">
                  <c:v>1.19995</c:v>
                </c:pt>
                <c:pt idx="37">
                  <c:v>1.205775</c:v>
                </c:pt>
                <c:pt idx="38">
                  <c:v>1.2116</c:v>
                </c:pt>
                <c:pt idx="39">
                  <c:v>1.217425</c:v>
                </c:pt>
                <c:pt idx="40">
                  <c:v>1.22325</c:v>
                </c:pt>
                <c:pt idx="41">
                  <c:v>1.229075</c:v>
                </c:pt>
                <c:pt idx="42">
                  <c:v>1.2349</c:v>
                </c:pt>
                <c:pt idx="43">
                  <c:v>1.240725</c:v>
                </c:pt>
                <c:pt idx="44">
                  <c:v>1.24655</c:v>
                </c:pt>
                <c:pt idx="45">
                  <c:v>1.252375</c:v>
                </c:pt>
                <c:pt idx="46">
                  <c:v>1.2582</c:v>
                </c:pt>
                <c:pt idx="47">
                  <c:v>1.264025</c:v>
                </c:pt>
                <c:pt idx="48">
                  <c:v>1.26985</c:v>
                </c:pt>
                <c:pt idx="49">
                  <c:v>1.275675</c:v>
                </c:pt>
                <c:pt idx="50">
                  <c:v>1.2815</c:v>
                </c:pt>
                <c:pt idx="51">
                  <c:v>1.287325</c:v>
                </c:pt>
                <c:pt idx="52">
                  <c:v>1.29315</c:v>
                </c:pt>
                <c:pt idx="53">
                  <c:v>1.298975</c:v>
                </c:pt>
                <c:pt idx="54">
                  <c:v>1.3048</c:v>
                </c:pt>
                <c:pt idx="55">
                  <c:v>1.310625</c:v>
                </c:pt>
                <c:pt idx="56">
                  <c:v>1.31645</c:v>
                </c:pt>
                <c:pt idx="57">
                  <c:v>1.322275</c:v>
                </c:pt>
                <c:pt idx="58">
                  <c:v>1.3281</c:v>
                </c:pt>
                <c:pt idx="59">
                  <c:v>1.333925</c:v>
                </c:pt>
                <c:pt idx="60">
                  <c:v>1.33975</c:v>
                </c:pt>
              </c:numCache>
            </c:numRef>
          </c:xVal>
          <c:yVal>
            <c:numRef>
              <c:f>Scenarios!$D$3:$D$63</c:f>
              <c:numCache>
                <c:formatCode>General</c:formatCode>
                <c:ptCount val="61"/>
                <c:pt idx="0">
                  <c:v>1.17423756497129</c:v>
                </c:pt>
                <c:pt idx="1">
                  <c:v>1.17423756497129</c:v>
                </c:pt>
                <c:pt idx="2">
                  <c:v>1.17423756497129</c:v>
                </c:pt>
                <c:pt idx="3">
                  <c:v>1.17423756497129</c:v>
                </c:pt>
                <c:pt idx="4">
                  <c:v>1.17423756497129</c:v>
                </c:pt>
                <c:pt idx="5">
                  <c:v>1.17423756497129</c:v>
                </c:pt>
                <c:pt idx="6">
                  <c:v>1.17423756497129</c:v>
                </c:pt>
                <c:pt idx="7">
                  <c:v>1.17423756497129</c:v>
                </c:pt>
                <c:pt idx="8">
                  <c:v>1.17423756497129</c:v>
                </c:pt>
                <c:pt idx="9">
                  <c:v>1.17423756497129</c:v>
                </c:pt>
                <c:pt idx="10">
                  <c:v>1.17423756497129</c:v>
                </c:pt>
                <c:pt idx="11">
                  <c:v>1.17423756497129</c:v>
                </c:pt>
                <c:pt idx="12">
                  <c:v>1.17423756497129</c:v>
                </c:pt>
                <c:pt idx="13">
                  <c:v>1.17423756497129</c:v>
                </c:pt>
                <c:pt idx="14">
                  <c:v>1.17423756497129</c:v>
                </c:pt>
                <c:pt idx="15">
                  <c:v>1.17423756497129</c:v>
                </c:pt>
                <c:pt idx="16">
                  <c:v>1.17423756497129</c:v>
                </c:pt>
                <c:pt idx="17">
                  <c:v>1.17423756497129</c:v>
                </c:pt>
                <c:pt idx="18">
                  <c:v>1.17423756497129</c:v>
                </c:pt>
                <c:pt idx="19">
                  <c:v>1.17423756497129</c:v>
                </c:pt>
                <c:pt idx="20">
                  <c:v>1.17423756497129</c:v>
                </c:pt>
                <c:pt idx="21">
                  <c:v>1.17423756497129</c:v>
                </c:pt>
                <c:pt idx="22">
                  <c:v>1.17423756497129</c:v>
                </c:pt>
                <c:pt idx="23">
                  <c:v>1.17423756497129</c:v>
                </c:pt>
                <c:pt idx="24">
                  <c:v>1.17423756497129</c:v>
                </c:pt>
                <c:pt idx="25">
                  <c:v>1.17423756497129</c:v>
                </c:pt>
                <c:pt idx="26">
                  <c:v>1.17423756497129</c:v>
                </c:pt>
                <c:pt idx="27">
                  <c:v>1.17423756497129</c:v>
                </c:pt>
                <c:pt idx="28">
                  <c:v>1.17423756497129</c:v>
                </c:pt>
                <c:pt idx="29">
                  <c:v>1.17423756497129</c:v>
                </c:pt>
                <c:pt idx="30">
                  <c:v>1.17423756497129</c:v>
                </c:pt>
                <c:pt idx="31">
                  <c:v>1.17423756497129</c:v>
                </c:pt>
                <c:pt idx="32">
                  <c:v>1.17423756497129</c:v>
                </c:pt>
                <c:pt idx="33">
                  <c:v>1.17423756497129</c:v>
                </c:pt>
                <c:pt idx="34">
                  <c:v>1.17423756497129</c:v>
                </c:pt>
                <c:pt idx="35">
                  <c:v>1.17423756497129</c:v>
                </c:pt>
                <c:pt idx="36">
                  <c:v>1.17423756497129</c:v>
                </c:pt>
                <c:pt idx="37">
                  <c:v>1.17423756497129</c:v>
                </c:pt>
                <c:pt idx="38">
                  <c:v>1.17423756497129</c:v>
                </c:pt>
                <c:pt idx="39">
                  <c:v>1.17423756497129</c:v>
                </c:pt>
                <c:pt idx="40">
                  <c:v>1.17423756497129</c:v>
                </c:pt>
                <c:pt idx="41">
                  <c:v>1.17423756497129</c:v>
                </c:pt>
                <c:pt idx="42">
                  <c:v>1.17423756497129</c:v>
                </c:pt>
                <c:pt idx="43">
                  <c:v>1.17423756497129</c:v>
                </c:pt>
                <c:pt idx="44">
                  <c:v>1.17423756497129</c:v>
                </c:pt>
                <c:pt idx="45">
                  <c:v>1.17423756497129</c:v>
                </c:pt>
                <c:pt idx="46">
                  <c:v>1.17423756497129</c:v>
                </c:pt>
                <c:pt idx="47">
                  <c:v>1.17423756497129</c:v>
                </c:pt>
                <c:pt idx="48">
                  <c:v>1.17423756497129</c:v>
                </c:pt>
                <c:pt idx="49">
                  <c:v>1.17423756497129</c:v>
                </c:pt>
                <c:pt idx="50">
                  <c:v>1.17423756497129</c:v>
                </c:pt>
                <c:pt idx="51">
                  <c:v>1.17423756497129</c:v>
                </c:pt>
                <c:pt idx="52">
                  <c:v>1.17423756497129</c:v>
                </c:pt>
                <c:pt idx="53">
                  <c:v>1.17423756497129</c:v>
                </c:pt>
                <c:pt idx="54">
                  <c:v>1.17423756497129</c:v>
                </c:pt>
                <c:pt idx="55">
                  <c:v>1.17423756497129</c:v>
                </c:pt>
                <c:pt idx="56">
                  <c:v>1.17423756497129</c:v>
                </c:pt>
                <c:pt idx="57">
                  <c:v>1.17423756497129</c:v>
                </c:pt>
                <c:pt idx="58">
                  <c:v>1.17423756497129</c:v>
                </c:pt>
                <c:pt idx="59">
                  <c:v>1.17423756497129</c:v>
                </c:pt>
                <c:pt idx="60">
                  <c:v>1.17423756497129</c:v>
                </c:pt>
              </c:numCache>
            </c:numRef>
          </c:yVal>
        </c:ser>
        <c:ser>
          <c:idx val="2"/>
          <c:order val="2"/>
          <c:tx>
            <c:v>Vanilla option</c:v>
          </c:tx>
          <c:spPr>
            <a:ln w="28575">
              <a:solidFill>
                <a:srgbClr val="EB6834"/>
              </a:solidFill>
              <a:prstDash val="solid"/>
            </a:ln>
          </c:spPr>
          <c:marker>
            <c:symbol val="none"/>
          </c:marker>
          <c:xVal>
            <c:numRef>
              <c:f>Scenarios!$B$3:$B$63</c:f>
              <c:numCache>
                <c:formatCode>General</c:formatCode>
                <c:ptCount val="61"/>
                <c:pt idx="0">
                  <c:v>0.99025</c:v>
                </c:pt>
                <c:pt idx="1">
                  <c:v>0.996075</c:v>
                </c:pt>
                <c:pt idx="2">
                  <c:v>1.0019</c:v>
                </c:pt>
                <c:pt idx="3">
                  <c:v>1.007725</c:v>
                </c:pt>
                <c:pt idx="4">
                  <c:v>1.01355</c:v>
                </c:pt>
                <c:pt idx="5">
                  <c:v>1.019375</c:v>
                </c:pt>
                <c:pt idx="6">
                  <c:v>1.0252</c:v>
                </c:pt>
                <c:pt idx="7">
                  <c:v>1.031025</c:v>
                </c:pt>
                <c:pt idx="8">
                  <c:v>1.03685</c:v>
                </c:pt>
                <c:pt idx="9">
                  <c:v>1.042675</c:v>
                </c:pt>
                <c:pt idx="10">
                  <c:v>1.0485</c:v>
                </c:pt>
                <c:pt idx="11">
                  <c:v>1.054325</c:v>
                </c:pt>
                <c:pt idx="12">
                  <c:v>1.06015</c:v>
                </c:pt>
                <c:pt idx="13">
                  <c:v>1.065975</c:v>
                </c:pt>
                <c:pt idx="14">
                  <c:v>1.0718</c:v>
                </c:pt>
                <c:pt idx="15">
                  <c:v>1.077625</c:v>
                </c:pt>
                <c:pt idx="16">
                  <c:v>1.08345</c:v>
                </c:pt>
                <c:pt idx="17">
                  <c:v>1.089275</c:v>
                </c:pt>
                <c:pt idx="18">
                  <c:v>1.0951</c:v>
                </c:pt>
                <c:pt idx="19">
                  <c:v>1.100925</c:v>
                </c:pt>
                <c:pt idx="20">
                  <c:v>1.10675</c:v>
                </c:pt>
                <c:pt idx="21">
                  <c:v>1.112575</c:v>
                </c:pt>
                <c:pt idx="22">
                  <c:v>1.1184</c:v>
                </c:pt>
                <c:pt idx="23">
                  <c:v>1.124225</c:v>
                </c:pt>
                <c:pt idx="24">
                  <c:v>1.13005</c:v>
                </c:pt>
                <c:pt idx="25">
                  <c:v>1.135875</c:v>
                </c:pt>
                <c:pt idx="26">
                  <c:v>1.1417</c:v>
                </c:pt>
                <c:pt idx="27">
                  <c:v>1.147525</c:v>
                </c:pt>
                <c:pt idx="28">
                  <c:v>1.15335</c:v>
                </c:pt>
                <c:pt idx="29">
                  <c:v>1.159175</c:v>
                </c:pt>
                <c:pt idx="30">
                  <c:v>1.165</c:v>
                </c:pt>
                <c:pt idx="31">
                  <c:v>1.170825</c:v>
                </c:pt>
                <c:pt idx="32">
                  <c:v>1.17665</c:v>
                </c:pt>
                <c:pt idx="33">
                  <c:v>1.182475</c:v>
                </c:pt>
                <c:pt idx="34">
                  <c:v>1.1883</c:v>
                </c:pt>
                <c:pt idx="35">
                  <c:v>1.194125</c:v>
                </c:pt>
                <c:pt idx="36">
                  <c:v>1.19995</c:v>
                </c:pt>
                <c:pt idx="37">
                  <c:v>1.205775</c:v>
                </c:pt>
                <c:pt idx="38">
                  <c:v>1.2116</c:v>
                </c:pt>
                <c:pt idx="39">
                  <c:v>1.217425</c:v>
                </c:pt>
                <c:pt idx="40">
                  <c:v>1.22325</c:v>
                </c:pt>
                <c:pt idx="41">
                  <c:v>1.229075</c:v>
                </c:pt>
                <c:pt idx="42">
                  <c:v>1.2349</c:v>
                </c:pt>
                <c:pt idx="43">
                  <c:v>1.240725</c:v>
                </c:pt>
                <c:pt idx="44">
                  <c:v>1.24655</c:v>
                </c:pt>
                <c:pt idx="45">
                  <c:v>1.252375</c:v>
                </c:pt>
                <c:pt idx="46">
                  <c:v>1.2582</c:v>
                </c:pt>
                <c:pt idx="47">
                  <c:v>1.264025</c:v>
                </c:pt>
                <c:pt idx="48">
                  <c:v>1.26985</c:v>
                </c:pt>
                <c:pt idx="49">
                  <c:v>1.275675</c:v>
                </c:pt>
                <c:pt idx="50">
                  <c:v>1.2815</c:v>
                </c:pt>
                <c:pt idx="51">
                  <c:v>1.287325</c:v>
                </c:pt>
                <c:pt idx="52">
                  <c:v>1.29315</c:v>
                </c:pt>
                <c:pt idx="53">
                  <c:v>1.298975</c:v>
                </c:pt>
                <c:pt idx="54">
                  <c:v>1.3048</c:v>
                </c:pt>
                <c:pt idx="55">
                  <c:v>1.310625</c:v>
                </c:pt>
                <c:pt idx="56">
                  <c:v>1.31645</c:v>
                </c:pt>
                <c:pt idx="57">
                  <c:v>1.322275</c:v>
                </c:pt>
                <c:pt idx="58">
                  <c:v>1.3281</c:v>
                </c:pt>
                <c:pt idx="59">
                  <c:v>1.333925</c:v>
                </c:pt>
                <c:pt idx="60">
                  <c:v>1.33975</c:v>
                </c:pt>
              </c:numCache>
            </c:numRef>
          </c:xVal>
          <c:yVal>
            <c:numRef>
              <c:f>Scenarios!$E$3:$E$63</c:f>
              <c:numCache>
                <c:formatCode>General</c:formatCode>
                <c:ptCount val="61"/>
                <c:pt idx="0">
                  <c:v>1.00684282702437</c:v>
                </c:pt>
                <c:pt idx="1">
                  <c:v>1.0128652658477</c:v>
                </c:pt>
                <c:pt idx="2">
                  <c:v>1.01888889211911</c:v>
                </c:pt>
                <c:pt idx="3">
                  <c:v>1.02491370618981</c:v>
                </c:pt>
                <c:pt idx="4">
                  <c:v>1.03093970841119</c:v>
                </c:pt>
                <c:pt idx="5">
                  <c:v>1.03696689913475</c:v>
                </c:pt>
                <c:pt idx="6">
                  <c:v>1.04299527871213</c:v>
                </c:pt>
                <c:pt idx="7">
                  <c:v>1.04902484749513</c:v>
                </c:pt>
                <c:pt idx="8">
                  <c:v>1.05505560583565</c:v>
                </c:pt>
                <c:pt idx="9">
                  <c:v>1.06108755408576</c:v>
                </c:pt>
                <c:pt idx="10">
                  <c:v>1.06712069259767</c:v>
                </c:pt>
                <c:pt idx="11">
                  <c:v>1.07315502172371</c:v>
                </c:pt>
                <c:pt idx="12">
                  <c:v>1.07919054181637</c:v>
                </c:pt>
                <c:pt idx="13">
                  <c:v>1.08522725322825</c:v>
                </c:pt>
                <c:pt idx="14">
                  <c:v>1.09126515631212</c:v>
                </c:pt>
                <c:pt idx="15">
                  <c:v>1.09730425142087</c:v>
                </c:pt>
                <c:pt idx="16">
                  <c:v>1.10334453890754</c:v>
                </c:pt>
                <c:pt idx="17">
                  <c:v>1.10938601912531</c:v>
                </c:pt>
                <c:pt idx="18">
                  <c:v>1.11542869242748</c:v>
                </c:pt>
                <c:pt idx="19">
                  <c:v>1.12147255916752</c:v>
                </c:pt>
                <c:pt idx="20">
                  <c:v>1.12751761969901</c:v>
                </c:pt>
                <c:pt idx="21">
                  <c:v>1.13356387437569</c:v>
                </c:pt>
                <c:pt idx="22">
                  <c:v>1.13961132355144</c:v>
                </c:pt>
                <c:pt idx="23">
                  <c:v>1.14565996758026</c:v>
                </c:pt>
                <c:pt idx="24">
                  <c:v>1.15170980681631</c:v>
                </c:pt>
                <c:pt idx="25">
                  <c:v>1.15776084161388</c:v>
                </c:pt>
                <c:pt idx="26">
                  <c:v>1.16381307232741</c:v>
                </c:pt>
                <c:pt idx="27">
                  <c:v>1.16986649931147</c:v>
                </c:pt>
                <c:pt idx="28">
                  <c:v>1.17592112292077</c:v>
                </c:pt>
                <c:pt idx="29">
                  <c:v>1.18197694351016</c:v>
                </c:pt>
                <c:pt idx="30">
                  <c:v>1.18803396143465</c:v>
                </c:pt>
                <c:pt idx="31">
                  <c:v>1.19409217704936</c:v>
                </c:pt>
                <c:pt idx="32">
                  <c:v>1.20015159070956</c:v>
                </c:pt>
                <c:pt idx="33">
                  <c:v>1.2036369464822</c:v>
                </c:pt>
                <c:pt idx="34">
                  <c:v>1.2036369464822</c:v>
                </c:pt>
                <c:pt idx="35">
                  <c:v>1.2036369464822</c:v>
                </c:pt>
                <c:pt idx="36">
                  <c:v>1.2036369464822</c:v>
                </c:pt>
                <c:pt idx="37">
                  <c:v>1.2036369464822</c:v>
                </c:pt>
                <c:pt idx="38">
                  <c:v>1.2036369464822</c:v>
                </c:pt>
                <c:pt idx="39">
                  <c:v>1.2036369464822</c:v>
                </c:pt>
                <c:pt idx="40">
                  <c:v>1.2036369464822</c:v>
                </c:pt>
                <c:pt idx="41">
                  <c:v>1.2036369464822</c:v>
                </c:pt>
                <c:pt idx="42">
                  <c:v>1.2036369464822</c:v>
                </c:pt>
                <c:pt idx="43">
                  <c:v>1.2036369464822</c:v>
                </c:pt>
                <c:pt idx="44">
                  <c:v>1.2036369464822</c:v>
                </c:pt>
                <c:pt idx="45">
                  <c:v>1.2036369464822</c:v>
                </c:pt>
                <c:pt idx="46">
                  <c:v>1.2036369464822</c:v>
                </c:pt>
                <c:pt idx="47">
                  <c:v>1.2036369464822</c:v>
                </c:pt>
                <c:pt idx="48">
                  <c:v>1.2036369464822</c:v>
                </c:pt>
                <c:pt idx="49">
                  <c:v>1.2036369464822</c:v>
                </c:pt>
                <c:pt idx="50">
                  <c:v>1.2036369464822</c:v>
                </c:pt>
                <c:pt idx="51">
                  <c:v>1.2036369464822</c:v>
                </c:pt>
                <c:pt idx="52">
                  <c:v>1.2036369464822</c:v>
                </c:pt>
                <c:pt idx="53">
                  <c:v>1.2036369464822</c:v>
                </c:pt>
                <c:pt idx="54">
                  <c:v>1.2036369464822</c:v>
                </c:pt>
                <c:pt idx="55">
                  <c:v>1.2036369464822</c:v>
                </c:pt>
                <c:pt idx="56">
                  <c:v>1.2036369464822</c:v>
                </c:pt>
                <c:pt idx="57">
                  <c:v>1.2036369464822</c:v>
                </c:pt>
                <c:pt idx="58">
                  <c:v>1.2036369464822</c:v>
                </c:pt>
                <c:pt idx="59">
                  <c:v>1.2036369464822</c:v>
                </c:pt>
                <c:pt idx="60">
                  <c:v>1.2036369464822</c:v>
                </c:pt>
              </c:numCache>
            </c:numRef>
          </c:yVal>
        </c:ser>
        <c:ser>
          <c:idx val="3"/>
          <c:order val="3"/>
          <c:tx>
            <c:v>Zero-cost collar</c:v>
          </c:tx>
          <c:spPr>
            <a:ln w="28575">
              <a:solidFill>
                <a:srgbClr val="1BAF7A"/>
              </a:solidFill>
              <a:prstDash val="solid"/>
            </a:ln>
          </c:spPr>
          <c:marker>
            <c:symbol val="none"/>
          </c:marker>
          <c:xVal>
            <c:numRef>
              <c:f>Scenarios!$B$3:$B$63</c:f>
              <c:numCache>
                <c:formatCode>General</c:formatCode>
                <c:ptCount val="61"/>
                <c:pt idx="0">
                  <c:v>0.99025</c:v>
                </c:pt>
                <c:pt idx="1">
                  <c:v>0.996075</c:v>
                </c:pt>
                <c:pt idx="2">
                  <c:v>1.0019</c:v>
                </c:pt>
                <c:pt idx="3">
                  <c:v>1.007725</c:v>
                </c:pt>
                <c:pt idx="4">
                  <c:v>1.01355</c:v>
                </c:pt>
                <c:pt idx="5">
                  <c:v>1.019375</c:v>
                </c:pt>
                <c:pt idx="6">
                  <c:v>1.0252</c:v>
                </c:pt>
                <c:pt idx="7">
                  <c:v>1.031025</c:v>
                </c:pt>
                <c:pt idx="8">
                  <c:v>1.03685</c:v>
                </c:pt>
                <c:pt idx="9">
                  <c:v>1.042675</c:v>
                </c:pt>
                <c:pt idx="10">
                  <c:v>1.0485</c:v>
                </c:pt>
                <c:pt idx="11">
                  <c:v>1.054325</c:v>
                </c:pt>
                <c:pt idx="12">
                  <c:v>1.06015</c:v>
                </c:pt>
                <c:pt idx="13">
                  <c:v>1.065975</c:v>
                </c:pt>
                <c:pt idx="14">
                  <c:v>1.0718</c:v>
                </c:pt>
                <c:pt idx="15">
                  <c:v>1.077625</c:v>
                </c:pt>
                <c:pt idx="16">
                  <c:v>1.08345</c:v>
                </c:pt>
                <c:pt idx="17">
                  <c:v>1.089275</c:v>
                </c:pt>
                <c:pt idx="18">
                  <c:v>1.0951</c:v>
                </c:pt>
                <c:pt idx="19">
                  <c:v>1.100925</c:v>
                </c:pt>
                <c:pt idx="20">
                  <c:v>1.10675</c:v>
                </c:pt>
                <c:pt idx="21">
                  <c:v>1.112575</c:v>
                </c:pt>
                <c:pt idx="22">
                  <c:v>1.1184</c:v>
                </c:pt>
                <c:pt idx="23">
                  <c:v>1.124225</c:v>
                </c:pt>
                <c:pt idx="24">
                  <c:v>1.13005</c:v>
                </c:pt>
                <c:pt idx="25">
                  <c:v>1.135875</c:v>
                </c:pt>
                <c:pt idx="26">
                  <c:v>1.1417</c:v>
                </c:pt>
                <c:pt idx="27">
                  <c:v>1.147525</c:v>
                </c:pt>
                <c:pt idx="28">
                  <c:v>1.15335</c:v>
                </c:pt>
                <c:pt idx="29">
                  <c:v>1.159175</c:v>
                </c:pt>
                <c:pt idx="30">
                  <c:v>1.165</c:v>
                </c:pt>
                <c:pt idx="31">
                  <c:v>1.170825</c:v>
                </c:pt>
                <c:pt idx="32">
                  <c:v>1.17665</c:v>
                </c:pt>
                <c:pt idx="33">
                  <c:v>1.182475</c:v>
                </c:pt>
                <c:pt idx="34">
                  <c:v>1.1883</c:v>
                </c:pt>
                <c:pt idx="35">
                  <c:v>1.194125</c:v>
                </c:pt>
                <c:pt idx="36">
                  <c:v>1.19995</c:v>
                </c:pt>
                <c:pt idx="37">
                  <c:v>1.205775</c:v>
                </c:pt>
                <c:pt idx="38">
                  <c:v>1.2116</c:v>
                </c:pt>
                <c:pt idx="39">
                  <c:v>1.217425</c:v>
                </c:pt>
                <c:pt idx="40">
                  <c:v>1.22325</c:v>
                </c:pt>
                <c:pt idx="41">
                  <c:v>1.229075</c:v>
                </c:pt>
                <c:pt idx="42">
                  <c:v>1.2349</c:v>
                </c:pt>
                <c:pt idx="43">
                  <c:v>1.240725</c:v>
                </c:pt>
                <c:pt idx="44">
                  <c:v>1.24655</c:v>
                </c:pt>
                <c:pt idx="45">
                  <c:v>1.252375</c:v>
                </c:pt>
                <c:pt idx="46">
                  <c:v>1.2582</c:v>
                </c:pt>
                <c:pt idx="47">
                  <c:v>1.264025</c:v>
                </c:pt>
                <c:pt idx="48">
                  <c:v>1.26985</c:v>
                </c:pt>
                <c:pt idx="49">
                  <c:v>1.275675</c:v>
                </c:pt>
                <c:pt idx="50">
                  <c:v>1.2815</c:v>
                </c:pt>
                <c:pt idx="51">
                  <c:v>1.287325</c:v>
                </c:pt>
                <c:pt idx="52">
                  <c:v>1.29315</c:v>
                </c:pt>
                <c:pt idx="53">
                  <c:v>1.298975</c:v>
                </c:pt>
                <c:pt idx="54">
                  <c:v>1.3048</c:v>
                </c:pt>
                <c:pt idx="55">
                  <c:v>1.310625</c:v>
                </c:pt>
                <c:pt idx="56">
                  <c:v>1.31645</c:v>
                </c:pt>
                <c:pt idx="57">
                  <c:v>1.322275</c:v>
                </c:pt>
                <c:pt idx="58">
                  <c:v>1.3281</c:v>
                </c:pt>
                <c:pt idx="59">
                  <c:v>1.333925</c:v>
                </c:pt>
                <c:pt idx="60">
                  <c:v>1.33975</c:v>
                </c:pt>
              </c:numCache>
            </c:numRef>
          </c:xVal>
          <c:yVal>
            <c:numRef>
              <c:f>Scenarios!$F$3:$F$63</c:f>
              <c:numCache>
                <c:formatCode>General</c:formatCode>
                <c:ptCount val="61"/>
                <c:pt idx="0">
                  <c:v>1.168888</c:v>
                </c:pt>
                <c:pt idx="1">
                  <c:v>1.168888</c:v>
                </c:pt>
                <c:pt idx="2">
                  <c:v>1.168888</c:v>
                </c:pt>
                <c:pt idx="3">
                  <c:v>1.168888</c:v>
                </c:pt>
                <c:pt idx="4">
                  <c:v>1.168888</c:v>
                </c:pt>
                <c:pt idx="5">
                  <c:v>1.168888</c:v>
                </c:pt>
                <c:pt idx="6">
                  <c:v>1.168888</c:v>
                </c:pt>
                <c:pt idx="7">
                  <c:v>1.168888</c:v>
                </c:pt>
                <c:pt idx="8">
                  <c:v>1.168888</c:v>
                </c:pt>
                <c:pt idx="9">
                  <c:v>1.168888</c:v>
                </c:pt>
                <c:pt idx="10">
                  <c:v>1.168888</c:v>
                </c:pt>
                <c:pt idx="11">
                  <c:v>1.168888</c:v>
                </c:pt>
                <c:pt idx="12">
                  <c:v>1.168888</c:v>
                </c:pt>
                <c:pt idx="13">
                  <c:v>1.168888</c:v>
                </c:pt>
                <c:pt idx="14">
                  <c:v>1.168888</c:v>
                </c:pt>
                <c:pt idx="15">
                  <c:v>1.168888</c:v>
                </c:pt>
                <c:pt idx="16">
                  <c:v>1.168888</c:v>
                </c:pt>
                <c:pt idx="17">
                  <c:v>1.168888</c:v>
                </c:pt>
                <c:pt idx="18">
                  <c:v>1.168888</c:v>
                </c:pt>
                <c:pt idx="19">
                  <c:v>1.168888</c:v>
                </c:pt>
                <c:pt idx="20">
                  <c:v>1.168888</c:v>
                </c:pt>
                <c:pt idx="21">
                  <c:v>1.168888</c:v>
                </c:pt>
                <c:pt idx="22">
                  <c:v>1.168888</c:v>
                </c:pt>
                <c:pt idx="23">
                  <c:v>1.168888</c:v>
                </c:pt>
                <c:pt idx="24">
                  <c:v>1.168888</c:v>
                </c:pt>
                <c:pt idx="25">
                  <c:v>1.168888</c:v>
                </c:pt>
                <c:pt idx="26">
                  <c:v>1.168888</c:v>
                </c:pt>
                <c:pt idx="27">
                  <c:v>1.168888</c:v>
                </c:pt>
                <c:pt idx="28">
                  <c:v>1.168888</c:v>
                </c:pt>
                <c:pt idx="29">
                  <c:v>1.168888</c:v>
                </c:pt>
                <c:pt idx="30">
                  <c:v>1.168888</c:v>
                </c:pt>
                <c:pt idx="31">
                  <c:v>1.170825</c:v>
                </c:pt>
                <c:pt idx="32">
                  <c:v>1.17665</c:v>
                </c:pt>
                <c:pt idx="33">
                  <c:v>1.18</c:v>
                </c:pt>
                <c:pt idx="34">
                  <c:v>1.18</c:v>
                </c:pt>
                <c:pt idx="35">
                  <c:v>1.18</c:v>
                </c:pt>
                <c:pt idx="36">
                  <c:v>1.18</c:v>
                </c:pt>
                <c:pt idx="37">
                  <c:v>1.18</c:v>
                </c:pt>
                <c:pt idx="38">
                  <c:v>1.18</c:v>
                </c:pt>
                <c:pt idx="39">
                  <c:v>1.18</c:v>
                </c:pt>
                <c:pt idx="40">
                  <c:v>1.18</c:v>
                </c:pt>
                <c:pt idx="41">
                  <c:v>1.18</c:v>
                </c:pt>
                <c:pt idx="42">
                  <c:v>1.18</c:v>
                </c:pt>
                <c:pt idx="43">
                  <c:v>1.18</c:v>
                </c:pt>
                <c:pt idx="44">
                  <c:v>1.18</c:v>
                </c:pt>
                <c:pt idx="45">
                  <c:v>1.18</c:v>
                </c:pt>
                <c:pt idx="46">
                  <c:v>1.18</c:v>
                </c:pt>
                <c:pt idx="47">
                  <c:v>1.18</c:v>
                </c:pt>
                <c:pt idx="48">
                  <c:v>1.18</c:v>
                </c:pt>
                <c:pt idx="49">
                  <c:v>1.18</c:v>
                </c:pt>
                <c:pt idx="50">
                  <c:v>1.18</c:v>
                </c:pt>
                <c:pt idx="51">
                  <c:v>1.18</c:v>
                </c:pt>
                <c:pt idx="52">
                  <c:v>1.18</c:v>
                </c:pt>
                <c:pt idx="53">
                  <c:v>1.18</c:v>
                </c:pt>
                <c:pt idx="54">
                  <c:v>1.18</c:v>
                </c:pt>
                <c:pt idx="55">
                  <c:v>1.18</c:v>
                </c:pt>
                <c:pt idx="56">
                  <c:v>1.18</c:v>
                </c:pt>
                <c:pt idx="57">
                  <c:v>1.18</c:v>
                </c:pt>
                <c:pt idx="58">
                  <c:v>1.18</c:v>
                </c:pt>
                <c:pt idx="59">
                  <c:v>1.18</c:v>
                </c:pt>
                <c:pt idx="60">
                  <c:v>1.18</c:v>
                </c:pt>
              </c:numCache>
            </c:numRef>
          </c:yVal>
        </c:ser>
        <c:ser>
          <c:idx val="4"/>
          <c:order val="4"/>
          <c:tx>
            <c:v>Participating forward</c:v>
          </c:tx>
          <c:spPr>
            <a:ln w="28575">
              <a:solidFill>
                <a:srgbClr val="EDA100"/>
              </a:solidFill>
              <a:prstDash val="solid"/>
            </a:ln>
          </c:spPr>
          <c:marker>
            <c:symbol val="none"/>
          </c:marker>
          <c:xVal>
            <c:numRef>
              <c:f>Scenarios!$B$3:$B$63</c:f>
              <c:numCache>
                <c:formatCode>General</c:formatCode>
                <c:ptCount val="61"/>
                <c:pt idx="0">
                  <c:v>0.99025</c:v>
                </c:pt>
                <c:pt idx="1">
                  <c:v>0.996075</c:v>
                </c:pt>
                <c:pt idx="2">
                  <c:v>1.0019</c:v>
                </c:pt>
                <c:pt idx="3">
                  <c:v>1.007725</c:v>
                </c:pt>
                <c:pt idx="4">
                  <c:v>1.01355</c:v>
                </c:pt>
                <c:pt idx="5">
                  <c:v>1.019375</c:v>
                </c:pt>
                <c:pt idx="6">
                  <c:v>1.0252</c:v>
                </c:pt>
                <c:pt idx="7">
                  <c:v>1.031025</c:v>
                </c:pt>
                <c:pt idx="8">
                  <c:v>1.03685</c:v>
                </c:pt>
                <c:pt idx="9">
                  <c:v>1.042675</c:v>
                </c:pt>
                <c:pt idx="10">
                  <c:v>1.0485</c:v>
                </c:pt>
                <c:pt idx="11">
                  <c:v>1.054325</c:v>
                </c:pt>
                <c:pt idx="12">
                  <c:v>1.06015</c:v>
                </c:pt>
                <c:pt idx="13">
                  <c:v>1.065975</c:v>
                </c:pt>
                <c:pt idx="14">
                  <c:v>1.0718</c:v>
                </c:pt>
                <c:pt idx="15">
                  <c:v>1.077625</c:v>
                </c:pt>
                <c:pt idx="16">
                  <c:v>1.08345</c:v>
                </c:pt>
                <c:pt idx="17">
                  <c:v>1.089275</c:v>
                </c:pt>
                <c:pt idx="18">
                  <c:v>1.0951</c:v>
                </c:pt>
                <c:pt idx="19">
                  <c:v>1.100925</c:v>
                </c:pt>
                <c:pt idx="20">
                  <c:v>1.10675</c:v>
                </c:pt>
                <c:pt idx="21">
                  <c:v>1.112575</c:v>
                </c:pt>
                <c:pt idx="22">
                  <c:v>1.1184</c:v>
                </c:pt>
                <c:pt idx="23">
                  <c:v>1.124225</c:v>
                </c:pt>
                <c:pt idx="24">
                  <c:v>1.13005</c:v>
                </c:pt>
                <c:pt idx="25">
                  <c:v>1.135875</c:v>
                </c:pt>
                <c:pt idx="26">
                  <c:v>1.1417</c:v>
                </c:pt>
                <c:pt idx="27">
                  <c:v>1.147525</c:v>
                </c:pt>
                <c:pt idx="28">
                  <c:v>1.15335</c:v>
                </c:pt>
                <c:pt idx="29">
                  <c:v>1.159175</c:v>
                </c:pt>
                <c:pt idx="30">
                  <c:v>1.165</c:v>
                </c:pt>
                <c:pt idx="31">
                  <c:v>1.170825</c:v>
                </c:pt>
                <c:pt idx="32">
                  <c:v>1.17665</c:v>
                </c:pt>
                <c:pt idx="33">
                  <c:v>1.182475</c:v>
                </c:pt>
                <c:pt idx="34">
                  <c:v>1.1883</c:v>
                </c:pt>
                <c:pt idx="35">
                  <c:v>1.194125</c:v>
                </c:pt>
                <c:pt idx="36">
                  <c:v>1.19995</c:v>
                </c:pt>
                <c:pt idx="37">
                  <c:v>1.205775</c:v>
                </c:pt>
                <c:pt idx="38">
                  <c:v>1.2116</c:v>
                </c:pt>
                <c:pt idx="39">
                  <c:v>1.217425</c:v>
                </c:pt>
                <c:pt idx="40">
                  <c:v>1.22325</c:v>
                </c:pt>
                <c:pt idx="41">
                  <c:v>1.229075</c:v>
                </c:pt>
                <c:pt idx="42">
                  <c:v>1.2349</c:v>
                </c:pt>
                <c:pt idx="43">
                  <c:v>1.240725</c:v>
                </c:pt>
                <c:pt idx="44">
                  <c:v>1.24655</c:v>
                </c:pt>
                <c:pt idx="45">
                  <c:v>1.252375</c:v>
                </c:pt>
                <c:pt idx="46">
                  <c:v>1.2582</c:v>
                </c:pt>
                <c:pt idx="47">
                  <c:v>1.264025</c:v>
                </c:pt>
                <c:pt idx="48">
                  <c:v>1.26985</c:v>
                </c:pt>
                <c:pt idx="49">
                  <c:v>1.275675</c:v>
                </c:pt>
                <c:pt idx="50">
                  <c:v>1.2815</c:v>
                </c:pt>
                <c:pt idx="51">
                  <c:v>1.287325</c:v>
                </c:pt>
                <c:pt idx="52">
                  <c:v>1.29315</c:v>
                </c:pt>
                <c:pt idx="53">
                  <c:v>1.298975</c:v>
                </c:pt>
                <c:pt idx="54">
                  <c:v>1.3048</c:v>
                </c:pt>
                <c:pt idx="55">
                  <c:v>1.310625</c:v>
                </c:pt>
                <c:pt idx="56">
                  <c:v>1.31645</c:v>
                </c:pt>
                <c:pt idx="57">
                  <c:v>1.322275</c:v>
                </c:pt>
                <c:pt idx="58">
                  <c:v>1.3281</c:v>
                </c:pt>
                <c:pt idx="59">
                  <c:v>1.333925</c:v>
                </c:pt>
                <c:pt idx="60">
                  <c:v>1.33975</c:v>
                </c:pt>
              </c:numCache>
            </c:numRef>
          </c:xVal>
          <c:yVal>
            <c:numRef>
              <c:f>Scenarios!$G$3:$G$63</c:f>
              <c:numCache>
                <c:formatCode>General</c:formatCode>
                <c:ptCount val="61"/>
                <c:pt idx="0">
                  <c:v>1.08204238215243</c:v>
                </c:pt>
                <c:pt idx="1">
                  <c:v>1.08551060812842</c:v>
                </c:pt>
                <c:pt idx="2">
                  <c:v>1.08896042216623</c:v>
                </c:pt>
                <c:pt idx="3">
                  <c:v>1.09239197049424</c:v>
                </c:pt>
                <c:pt idx="4">
                  <c:v>1.09580539779642</c:v>
                </c:pt>
                <c:pt idx="5">
                  <c:v>1.09920084723273</c:v>
                </c:pt>
                <c:pt idx="6">
                  <c:v>1.10257846045908</c:v>
                </c:pt>
                <c:pt idx="7">
                  <c:v>1.10593837764704</c:v>
                </c:pt>
                <c:pt idx="8">
                  <c:v>1.10928073750326</c:v>
                </c:pt>
                <c:pt idx="9">
                  <c:v>1.11260567728852</c:v>
                </c:pt>
                <c:pt idx="10">
                  <c:v>1.11591333283655</c:v>
                </c:pt>
                <c:pt idx="11">
                  <c:v>1.11920383857251</c:v>
                </c:pt>
                <c:pt idx="12">
                  <c:v>1.12247732753122</c:v>
                </c:pt>
                <c:pt idx="13">
                  <c:v>1.12573393137504</c:v>
                </c:pt>
                <c:pt idx="14">
                  <c:v>1.1289737804116</c:v>
                </c:pt>
                <c:pt idx="15">
                  <c:v>1.13219700361111</c:v>
                </c:pt>
                <c:pt idx="16">
                  <c:v>1.13540372862352</c:v>
                </c:pt>
                <c:pt idx="17">
                  <c:v>1.13859408179534</c:v>
                </c:pt>
                <c:pt idx="18">
                  <c:v>1.14176818818625</c:v>
                </c:pt>
                <c:pt idx="19">
                  <c:v>1.14492617158546</c:v>
                </c:pt>
                <c:pt idx="20">
                  <c:v>1.14806815452775</c:v>
                </c:pt>
                <c:pt idx="21">
                  <c:v>1.15119425830938</c:v>
                </c:pt>
                <c:pt idx="22">
                  <c:v>1.15430460300365</c:v>
                </c:pt>
                <c:pt idx="23">
                  <c:v>1.1573993074763</c:v>
                </c:pt>
                <c:pt idx="24">
                  <c:v>1.16047848940064</c:v>
                </c:pt>
                <c:pt idx="25">
                  <c:v>1.1635422652725</c:v>
                </c:pt>
                <c:pt idx="26">
                  <c:v>1.16659075042486</c:v>
                </c:pt>
                <c:pt idx="27">
                  <c:v>1.16962405904237</c:v>
                </c:pt>
                <c:pt idx="28">
                  <c:v>1.1726423041756</c:v>
                </c:pt>
                <c:pt idx="29">
                  <c:v>1.17564559775505</c:v>
                </c:pt>
                <c:pt idx="30">
                  <c:v>1.17863405060505</c:v>
                </c:pt>
                <c:pt idx="31">
                  <c:v>1.18160777245732</c:v>
                </c:pt>
                <c:pt idx="32">
                  <c:v>1.18456687196448</c:v>
                </c:pt>
                <c:pt idx="33">
                  <c:v>1.1875114567132</c:v>
                </c:pt>
                <c:pt idx="34">
                  <c:v>1.19044163323731</c:v>
                </c:pt>
                <c:pt idx="35">
                  <c:v>1.192591</c:v>
                </c:pt>
                <c:pt idx="36">
                  <c:v>1.192591</c:v>
                </c:pt>
                <c:pt idx="37">
                  <c:v>1.192591</c:v>
                </c:pt>
                <c:pt idx="38">
                  <c:v>1.192591</c:v>
                </c:pt>
                <c:pt idx="39">
                  <c:v>1.192591</c:v>
                </c:pt>
                <c:pt idx="40">
                  <c:v>1.192591</c:v>
                </c:pt>
                <c:pt idx="41">
                  <c:v>1.192591</c:v>
                </c:pt>
                <c:pt idx="42">
                  <c:v>1.192591</c:v>
                </c:pt>
                <c:pt idx="43">
                  <c:v>1.192591</c:v>
                </c:pt>
                <c:pt idx="44">
                  <c:v>1.192591</c:v>
                </c:pt>
                <c:pt idx="45">
                  <c:v>1.192591</c:v>
                </c:pt>
                <c:pt idx="46">
                  <c:v>1.192591</c:v>
                </c:pt>
                <c:pt idx="47">
                  <c:v>1.192591</c:v>
                </c:pt>
                <c:pt idx="48">
                  <c:v>1.192591</c:v>
                </c:pt>
                <c:pt idx="49">
                  <c:v>1.192591</c:v>
                </c:pt>
                <c:pt idx="50">
                  <c:v>1.192591</c:v>
                </c:pt>
                <c:pt idx="51">
                  <c:v>1.192591</c:v>
                </c:pt>
                <c:pt idx="52">
                  <c:v>1.192591</c:v>
                </c:pt>
                <c:pt idx="53">
                  <c:v>1.192591</c:v>
                </c:pt>
                <c:pt idx="54">
                  <c:v>1.192591</c:v>
                </c:pt>
                <c:pt idx="55">
                  <c:v>1.192591</c:v>
                </c:pt>
                <c:pt idx="56">
                  <c:v>1.192591</c:v>
                </c:pt>
                <c:pt idx="57">
                  <c:v>1.192591</c:v>
                </c:pt>
                <c:pt idx="58">
                  <c:v>1.192591</c:v>
                </c:pt>
                <c:pt idx="59">
                  <c:v>1.192591</c:v>
                </c:pt>
                <c:pt idx="60">
                  <c:v>1.192591</c:v>
                </c:pt>
              </c:numCache>
            </c:numRef>
          </c:yVal>
        </c:ser>
        <c:ser>
          <c:idx val="5"/>
          <c:order val="5"/>
          <c:tx>
            <c:v>TARF</c:v>
          </c:tx>
          <c:spPr>
            <a:ln w="28575">
              <a:solidFill>
                <a:srgbClr val="E87BA4"/>
              </a:solidFill>
              <a:prstDash val="solid"/>
            </a:ln>
          </c:spPr>
          <c:marker>
            <c:symbol val="none"/>
          </c:marker>
          <c:xVal>
            <c:numRef>
              <c:f>Scenarios!$B$3:$B$63</c:f>
              <c:numCache>
                <c:formatCode>General</c:formatCode>
                <c:ptCount val="61"/>
                <c:pt idx="0">
                  <c:v>0.99025</c:v>
                </c:pt>
                <c:pt idx="1">
                  <c:v>0.996075</c:v>
                </c:pt>
                <c:pt idx="2">
                  <c:v>1.0019</c:v>
                </c:pt>
                <c:pt idx="3">
                  <c:v>1.007725</c:v>
                </c:pt>
                <c:pt idx="4">
                  <c:v>1.01355</c:v>
                </c:pt>
                <c:pt idx="5">
                  <c:v>1.019375</c:v>
                </c:pt>
                <c:pt idx="6">
                  <c:v>1.0252</c:v>
                </c:pt>
                <c:pt idx="7">
                  <c:v>1.031025</c:v>
                </c:pt>
                <c:pt idx="8">
                  <c:v>1.03685</c:v>
                </c:pt>
                <c:pt idx="9">
                  <c:v>1.042675</c:v>
                </c:pt>
                <c:pt idx="10">
                  <c:v>1.0485</c:v>
                </c:pt>
                <c:pt idx="11">
                  <c:v>1.054325</c:v>
                </c:pt>
                <c:pt idx="12">
                  <c:v>1.06015</c:v>
                </c:pt>
                <c:pt idx="13">
                  <c:v>1.065975</c:v>
                </c:pt>
                <c:pt idx="14">
                  <c:v>1.0718</c:v>
                </c:pt>
                <c:pt idx="15">
                  <c:v>1.077625</c:v>
                </c:pt>
                <c:pt idx="16">
                  <c:v>1.08345</c:v>
                </c:pt>
                <c:pt idx="17">
                  <c:v>1.089275</c:v>
                </c:pt>
                <c:pt idx="18">
                  <c:v>1.0951</c:v>
                </c:pt>
                <c:pt idx="19">
                  <c:v>1.100925</c:v>
                </c:pt>
                <c:pt idx="20">
                  <c:v>1.10675</c:v>
                </c:pt>
                <c:pt idx="21">
                  <c:v>1.112575</c:v>
                </c:pt>
                <c:pt idx="22">
                  <c:v>1.1184</c:v>
                </c:pt>
                <c:pt idx="23">
                  <c:v>1.124225</c:v>
                </c:pt>
                <c:pt idx="24">
                  <c:v>1.13005</c:v>
                </c:pt>
                <c:pt idx="25">
                  <c:v>1.135875</c:v>
                </c:pt>
                <c:pt idx="26">
                  <c:v>1.1417</c:v>
                </c:pt>
                <c:pt idx="27">
                  <c:v>1.147525</c:v>
                </c:pt>
                <c:pt idx="28">
                  <c:v>1.15335</c:v>
                </c:pt>
                <c:pt idx="29">
                  <c:v>1.159175</c:v>
                </c:pt>
                <c:pt idx="30">
                  <c:v>1.165</c:v>
                </c:pt>
                <c:pt idx="31">
                  <c:v>1.170825</c:v>
                </c:pt>
                <c:pt idx="32">
                  <c:v>1.17665</c:v>
                </c:pt>
                <c:pt idx="33">
                  <c:v>1.182475</c:v>
                </c:pt>
                <c:pt idx="34">
                  <c:v>1.1883</c:v>
                </c:pt>
                <c:pt idx="35">
                  <c:v>1.194125</c:v>
                </c:pt>
                <c:pt idx="36">
                  <c:v>1.19995</c:v>
                </c:pt>
                <c:pt idx="37">
                  <c:v>1.205775</c:v>
                </c:pt>
                <c:pt idx="38">
                  <c:v>1.2116</c:v>
                </c:pt>
                <c:pt idx="39">
                  <c:v>1.217425</c:v>
                </c:pt>
                <c:pt idx="40">
                  <c:v>1.22325</c:v>
                </c:pt>
                <c:pt idx="41">
                  <c:v>1.229075</c:v>
                </c:pt>
                <c:pt idx="42">
                  <c:v>1.2349</c:v>
                </c:pt>
                <c:pt idx="43">
                  <c:v>1.240725</c:v>
                </c:pt>
                <c:pt idx="44">
                  <c:v>1.24655</c:v>
                </c:pt>
                <c:pt idx="45">
                  <c:v>1.252375</c:v>
                </c:pt>
                <c:pt idx="46">
                  <c:v>1.2582</c:v>
                </c:pt>
                <c:pt idx="47">
                  <c:v>1.264025</c:v>
                </c:pt>
                <c:pt idx="48">
                  <c:v>1.26985</c:v>
                </c:pt>
                <c:pt idx="49">
                  <c:v>1.275675</c:v>
                </c:pt>
                <c:pt idx="50">
                  <c:v>1.2815</c:v>
                </c:pt>
                <c:pt idx="51">
                  <c:v>1.287325</c:v>
                </c:pt>
                <c:pt idx="52">
                  <c:v>1.29315</c:v>
                </c:pt>
                <c:pt idx="53">
                  <c:v>1.298975</c:v>
                </c:pt>
                <c:pt idx="54">
                  <c:v>1.3048</c:v>
                </c:pt>
                <c:pt idx="55">
                  <c:v>1.310625</c:v>
                </c:pt>
                <c:pt idx="56">
                  <c:v>1.31645</c:v>
                </c:pt>
                <c:pt idx="57">
                  <c:v>1.322275</c:v>
                </c:pt>
                <c:pt idx="58">
                  <c:v>1.3281</c:v>
                </c:pt>
                <c:pt idx="59">
                  <c:v>1.333925</c:v>
                </c:pt>
                <c:pt idx="60">
                  <c:v>1.33975</c:v>
                </c:pt>
              </c:numCache>
            </c:numRef>
          </c:xVal>
          <c:yVal>
            <c:numRef>
              <c:f>Scenarios!$H$3:$H$63</c:f>
              <c:numCache>
                <c:formatCode>General</c:formatCode>
                <c:ptCount val="61"/>
                <c:pt idx="0">
                  <c:v>1.30085192954931</c:v>
                </c:pt>
                <c:pt idx="1">
                  <c:v>1.29093468157777</c:v>
                </c:pt>
                <c:pt idx="2">
                  <c:v>1.28128022342696</c:v>
                </c:pt>
                <c:pt idx="3">
                  <c:v>1.27187824646755</c:v>
                </c:pt>
                <c:pt idx="4">
                  <c:v>1.26271897428881</c:v>
                </c:pt>
                <c:pt idx="5">
                  <c:v>1.2537931287893</c:v>
                </c:pt>
                <c:pt idx="6">
                  <c:v>1.24509189882742</c:v>
                </c:pt>
                <c:pt idx="7">
                  <c:v>1.23660691120929</c:v>
                </c:pt>
                <c:pt idx="8">
                  <c:v>1.22833020381309</c:v>
                </c:pt>
                <c:pt idx="9">
                  <c:v>1.22025420066857</c:v>
                </c:pt>
                <c:pt idx="10">
                  <c:v>1.2123716888277</c:v>
                </c:pt>
                <c:pt idx="11">
                  <c:v>1.20467579687813</c:v>
                </c:pt>
                <c:pt idx="12">
                  <c:v>1.19715997496493</c:v>
                </c:pt>
                <c:pt idx="13">
                  <c:v>1.18981797619839</c:v>
                </c:pt>
                <c:pt idx="14">
                  <c:v>1.18264383933714</c:v>
                </c:pt>
                <c:pt idx="15">
                  <c:v>1.17563187264553</c:v>
                </c:pt>
                <c:pt idx="16">
                  <c:v>1.16877663883354</c:v>
                </c:pt>
                <c:pt idx="17">
                  <c:v>1.16207294099538</c:v>
                </c:pt>
                <c:pt idx="18">
                  <c:v>1.15551580947037</c:v>
                </c:pt>
                <c:pt idx="19">
                  <c:v>1.14910048955635</c:v>
                </c:pt>
                <c:pt idx="20">
                  <c:v>1.14282243001167</c:v>
                </c:pt>
                <c:pt idx="21">
                  <c:v>1.13667727228745</c:v>
                </c:pt>
                <c:pt idx="22">
                  <c:v>1.13066084043646</c:v>
                </c:pt>
                <c:pt idx="23">
                  <c:v>1.12476913164963</c:v>
                </c:pt>
                <c:pt idx="24">
                  <c:v>1.124497</c:v>
                </c:pt>
                <c:pt idx="25">
                  <c:v>1.12732007644543</c:v>
                </c:pt>
                <c:pt idx="26">
                  <c:v>1.13303320488025</c:v>
                </c:pt>
                <c:pt idx="27">
                  <c:v>1.13781634993016</c:v>
                </c:pt>
                <c:pt idx="28">
                  <c:v>1.1435692113584</c:v>
                </c:pt>
                <c:pt idx="29">
                  <c:v>1.15030651715789</c:v>
                </c:pt>
                <c:pt idx="30">
                  <c:v>1.15460315333885</c:v>
                </c:pt>
                <c:pt idx="31">
                  <c:v>1.15888877448223</c:v>
                </c:pt>
                <c:pt idx="32">
                  <c:v>1.16762446550922</c:v>
                </c:pt>
                <c:pt idx="33">
                  <c:v>1.17240035804031</c:v>
                </c:pt>
                <c:pt idx="34">
                  <c:v>1.17716808130047</c:v>
                </c:pt>
                <c:pt idx="35">
                  <c:v>1.18192765623235</c:v>
                </c:pt>
                <c:pt idx="36">
                  <c:v>1.18667910370711</c:v>
                </c:pt>
                <c:pt idx="37">
                  <c:v>1.19142244452467</c:v>
                </c:pt>
                <c:pt idx="38">
                  <c:v>1.19615769941404</c:v>
                </c:pt>
                <c:pt idx="39">
                  <c:v>1.20088488903363</c:v>
                </c:pt>
                <c:pt idx="40">
                  <c:v>1.20560403397152</c:v>
                </c:pt>
                <c:pt idx="41">
                  <c:v>1.21962294217277</c:v>
                </c:pt>
                <c:pt idx="42">
                  <c:v>1.22487846318759</c:v>
                </c:pt>
                <c:pt idx="43">
                  <c:v>1.23012948560167</c:v>
                </c:pt>
                <c:pt idx="44">
                  <c:v>1.23537601518858</c:v>
                </c:pt>
                <c:pt idx="45">
                  <c:v>1.24061805771202</c:v>
                </c:pt>
                <c:pt idx="46">
                  <c:v>1.24585561892582</c:v>
                </c:pt>
                <c:pt idx="47">
                  <c:v>1.251088704574</c:v>
                </c:pt>
                <c:pt idx="48">
                  <c:v>1.25631732039075</c:v>
                </c:pt>
                <c:pt idx="49">
                  <c:v>1.26154147210047</c:v>
                </c:pt>
                <c:pt idx="50">
                  <c:v>1.26676116541781</c:v>
                </c:pt>
                <c:pt idx="51">
                  <c:v>1.27197640604763</c:v>
                </c:pt>
                <c:pt idx="52">
                  <c:v>1.2771871996851</c:v>
                </c:pt>
                <c:pt idx="53">
                  <c:v>1.28239355201566</c:v>
                </c:pt>
                <c:pt idx="54">
                  <c:v>1.28759546871507</c:v>
                </c:pt>
                <c:pt idx="55">
                  <c:v>1.29279295544942</c:v>
                </c:pt>
                <c:pt idx="56">
                  <c:v>1.29798601787516</c:v>
                </c:pt>
                <c:pt idx="57">
                  <c:v>1.30317466163911</c:v>
                </c:pt>
                <c:pt idx="58">
                  <c:v>1.30835889237848</c:v>
                </c:pt>
                <c:pt idx="59">
                  <c:v>1.3135387157209</c:v>
                </c:pt>
                <c:pt idx="60">
                  <c:v>1.31871413728443</c:v>
                </c:pt>
              </c:numCache>
            </c:numRef>
          </c:yVal>
        </c:ser>
        <c:axId val="50010001"/>
        <c:axId val="50010002"/>
      </c:scatterChart>
      <c:valAx>
        <c:axId val="50010001"/>
        <c:scaling>
          <c:orientation val="minMax"/>
          <c:max val="1.35"/>
          <c:min val="0.9500000000000001"/>
        </c:scaling>
        <c:axPos val="b"/>
        <c:majorGridlines>
          <c:spPr>
            <a:ln>
              <a:solidFill>
                <a:srgbClr val="E6E6E6"/>
              </a:solidFill>
            </a:ln>
          </c:spPr>
        </c:majorGridlines>
        <c:title>
          <c:tx>
            <c:rich>
              <a:bodyPr/>
              <a:lstStyle/>
              <a:p>
                <a:pPr>
                  <a:defRPr/>
                </a:pPr>
                <a:r>
                  <a:rPr lang="en-US"/>
                  <a:t>EURUSD over the hedging period</a:t>
                </a:r>
              </a:p>
            </c:rich>
          </c:tx>
          <c:layout/>
        </c:title>
        <c:numFmt formatCode="0.00" sourceLinked="0"/>
        <c:tickLblPos val="nextTo"/>
        <c:crossAx val="50010002"/>
        <c:crosses val="autoZero"/>
        <c:crossBetween val="midCat"/>
      </c:valAx>
      <c:valAx>
        <c:axId val="50010002"/>
        <c:scaling>
          <c:orientation val="minMax"/>
          <c:max val="1.35"/>
          <c:min val="0.9500000000000001"/>
        </c:scaling>
        <c:axPos val="l"/>
        <c:majorGridlines>
          <c:spPr>
            <a:ln>
              <a:solidFill>
                <a:srgbClr val="E6E6E6"/>
              </a:solidFill>
            </a:ln>
          </c:spPr>
        </c:majorGridlines>
        <c:title>
          <c:tx>
            <c:rich>
              <a:bodyPr rot="-5400000" vert="horz"/>
              <a:lstStyle/>
              <a:p>
                <a:pPr>
                  <a:defRPr/>
                </a:pPr>
                <a:r>
                  <a:rPr lang="en-US"/>
                  <a:t>Achieved average rate</a:t>
                </a:r>
              </a:p>
            </c:rich>
          </c:tx>
          <c:layout/>
        </c:title>
        <c:numFmt formatCode="0.00" sourceLinked="0"/>
        <c:tickLblPos val="nextTo"/>
        <c:crossAx val="50010001"/>
        <c:crosses val="autoZero"/>
        <c:crossBetween val="midCat"/>
      </c:valAx>
    </c:plotArea>
    <c:legend>
      <c:legendPos val="b"/>
      <c:layout/>
    </c:legend>
    <c:plotVisOnly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baseline="0"/>
            </a:pPr>
            <a:r>
              <a:rPr lang="en-US" sz="1200" b="1" baseline="0"/>
              <a:t>Distribution of outcomes: 1% = best case, 99% = worst case</a:t>
            </a:r>
          </a:p>
        </c:rich>
      </c:tx>
      <c:layout/>
    </c:title>
    <c:plotArea>
      <c:layout/>
      <c:scatterChart>
        <c:scatterStyle val="lineMarker"/>
        <c:ser>
          <c:idx val="0"/>
          <c:order val="0"/>
          <c:tx>
            <c:v>Unhedged</c:v>
          </c:tx>
          <c:spPr>
            <a:ln w="19050">
              <a:solidFill>
                <a:srgbClr val="8A8985"/>
              </a:solidFill>
              <a:prstDash val="dash"/>
            </a:ln>
          </c:spPr>
          <c:marker>
            <c:symbol val="none"/>
          </c:marker>
          <c:xVal>
            <c:numRef>
              <c:f>Distribution!$A$3:$A$101</c:f>
              <c:numCache>
                <c:formatCode>General</c:formatCode>
                <c:ptCount val="99"/>
                <c:pt idx="0">
                  <c:v>0.01</c:v>
                </c:pt>
                <c:pt idx="1">
                  <c:v>0.02</c:v>
                </c:pt>
                <c:pt idx="2">
                  <c:v>0.03</c:v>
                </c:pt>
                <c:pt idx="3">
                  <c:v>0.04</c:v>
                </c:pt>
                <c:pt idx="4">
                  <c:v>0.05</c:v>
                </c:pt>
                <c:pt idx="5">
                  <c:v>0.06</c:v>
                </c:pt>
                <c:pt idx="6">
                  <c:v>0.07000000000000001</c:v>
                </c:pt>
                <c:pt idx="7">
                  <c:v>0.08</c:v>
                </c:pt>
                <c:pt idx="8">
                  <c:v>0.09</c:v>
                </c:pt>
                <c:pt idx="9">
                  <c:v>0.1</c:v>
                </c:pt>
                <c:pt idx="10">
                  <c:v>0.11</c:v>
                </c:pt>
                <c:pt idx="11">
                  <c:v>0.12</c:v>
                </c:pt>
                <c:pt idx="12">
                  <c:v>0.13</c:v>
                </c:pt>
                <c:pt idx="13">
                  <c:v>0.14</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c:v>
                </c:pt>
                <c:pt idx="28">
                  <c:v>0.29</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c:v>
                </c:pt>
                <c:pt idx="55">
                  <c:v>0.5600000000000001</c:v>
                </c:pt>
                <c:pt idx="56">
                  <c:v>0.57</c:v>
                </c:pt>
                <c:pt idx="57">
                  <c:v>0.58</c:v>
                </c:pt>
                <c:pt idx="58">
                  <c:v>0.59</c:v>
                </c:pt>
                <c:pt idx="59">
                  <c:v>0.6</c:v>
                </c:pt>
                <c:pt idx="60">
                  <c:v>0.61</c:v>
                </c:pt>
                <c:pt idx="61">
                  <c:v>0.62</c:v>
                </c:pt>
                <c:pt idx="62">
                  <c:v>0.63</c:v>
                </c:pt>
                <c:pt idx="63">
                  <c:v>0.64</c:v>
                </c:pt>
                <c:pt idx="64">
                  <c:v>0.65</c:v>
                </c:pt>
                <c:pt idx="65">
                  <c:v>0.66</c:v>
                </c:pt>
                <c:pt idx="66">
                  <c:v>0.67</c:v>
                </c:pt>
                <c:pt idx="67">
                  <c:v>0.68</c:v>
                </c:pt>
                <c:pt idx="68">
                  <c:v>0.6899999999999999</c:v>
                </c:pt>
                <c:pt idx="69">
                  <c:v>0.7</c:v>
                </c:pt>
                <c:pt idx="70">
                  <c:v>0.71</c:v>
                </c:pt>
                <c:pt idx="71">
                  <c:v>0.72</c:v>
                </c:pt>
                <c:pt idx="72">
                  <c:v>0.73</c:v>
                </c:pt>
                <c:pt idx="73">
                  <c:v>0.74</c:v>
                </c:pt>
                <c:pt idx="74">
                  <c:v>0.75</c:v>
                </c:pt>
                <c:pt idx="75">
                  <c:v>0.76</c:v>
                </c:pt>
                <c:pt idx="76">
                  <c:v>0.77</c:v>
                </c:pt>
                <c:pt idx="77">
                  <c:v>0.78</c:v>
                </c:pt>
                <c:pt idx="78">
                  <c:v>0.79</c:v>
                </c:pt>
                <c:pt idx="79">
                  <c:v>0.8</c:v>
                </c:pt>
                <c:pt idx="80">
                  <c:v>0.8100000000000001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0.9399999999999999</c:v>
                </c:pt>
                <c:pt idx="94">
                  <c:v>0.95</c:v>
                </c:pt>
                <c:pt idx="95">
                  <c:v>0.96</c:v>
                </c:pt>
                <c:pt idx="96">
                  <c:v>0.97</c:v>
                </c:pt>
                <c:pt idx="97">
                  <c:v>0.98</c:v>
                </c:pt>
                <c:pt idx="98">
                  <c:v>0.99</c:v>
                </c:pt>
              </c:numCache>
            </c:numRef>
          </c:xVal>
          <c:yVal>
            <c:numRef>
              <c:f>Distribution!$B$3:$B$101</c:f>
              <c:numCache>
                <c:formatCode>General</c:formatCode>
                <c:ptCount val="99"/>
                <c:pt idx="0">
                  <c:v>1.04089978944134</c:v>
                </c:pt>
                <c:pt idx="1">
                  <c:v>1.05473906158396</c:v>
                </c:pt>
                <c:pt idx="2">
                  <c:v>1.06333315319933</c:v>
                </c:pt>
                <c:pt idx="3">
                  <c:v>1.07003171827734</c:v>
                </c:pt>
                <c:pt idx="4">
                  <c:v>1.07561397711463</c:v>
                </c:pt>
                <c:pt idx="5">
                  <c:v>1.0806884291083</c:v>
                </c:pt>
                <c:pt idx="6">
                  <c:v>1.08470150356407</c:v>
                </c:pt>
                <c:pt idx="7">
                  <c:v>1.0882805448346</c:v>
                </c:pt>
                <c:pt idx="8">
                  <c:v>1.09161772742857</c:v>
                </c:pt>
                <c:pt idx="9">
                  <c:v>1.09440609946305</c:v>
                </c:pt>
                <c:pt idx="10">
                  <c:v>1.09705411394725</c:v>
                </c:pt>
                <c:pt idx="11">
                  <c:v>1.10021946797789</c:v>
                </c:pt>
                <c:pt idx="12">
                  <c:v>1.10251763309834</c:v>
                </c:pt>
                <c:pt idx="13">
                  <c:v>1.10476398726206</c:v>
                </c:pt>
                <c:pt idx="14">
                  <c:v>1.10691353352089</c:v>
                </c:pt>
                <c:pt idx="15">
                  <c:v>1.10912921642556</c:v>
                </c:pt>
                <c:pt idx="16">
                  <c:v>1.11118630817836</c:v>
                </c:pt>
                <c:pt idx="17">
                  <c:v>1.11327821148701</c:v>
                </c:pt>
                <c:pt idx="18">
                  <c:v>1.11514991454553</c:v>
                </c:pt>
                <c:pt idx="19">
                  <c:v>1.11715151482597</c:v>
                </c:pt>
                <c:pt idx="20">
                  <c:v>1.11907417869958</c:v>
                </c:pt>
                <c:pt idx="21">
                  <c:v>1.12090267429006</c:v>
                </c:pt>
                <c:pt idx="22">
                  <c:v>1.12273154467872</c:v>
                </c:pt>
                <c:pt idx="23">
                  <c:v>1.12464290041894</c:v>
                </c:pt>
                <c:pt idx="24">
                  <c:v>1.12637340475719</c:v>
                </c:pt>
                <c:pt idx="25">
                  <c:v>1.12787657143563</c:v>
                </c:pt>
                <c:pt idx="26">
                  <c:v>1.12940367033259</c:v>
                </c:pt>
                <c:pt idx="27">
                  <c:v>1.13097882586314</c:v>
                </c:pt>
                <c:pt idx="28">
                  <c:v>1.13259443518399</c:v>
                </c:pt>
                <c:pt idx="29">
                  <c:v>1.13407584764295</c:v>
                </c:pt>
                <c:pt idx="30">
                  <c:v>1.13570444498323</c:v>
                </c:pt>
                <c:pt idx="31">
                  <c:v>1.13721360838398</c:v>
                </c:pt>
                <c:pt idx="32">
                  <c:v>1.13883705167659</c:v>
                </c:pt>
                <c:pt idx="33">
                  <c:v>1.14004127505848</c:v>
                </c:pt>
                <c:pt idx="34">
                  <c:v>1.14159129295141</c:v>
                </c:pt>
                <c:pt idx="35">
                  <c:v>1.14289553979422</c:v>
                </c:pt>
                <c:pt idx="36">
                  <c:v>1.14434895389322</c:v>
                </c:pt>
                <c:pt idx="37">
                  <c:v>1.14580301486713</c:v>
                </c:pt>
                <c:pt idx="38">
                  <c:v>1.14737051589287</c:v>
                </c:pt>
                <c:pt idx="39">
                  <c:v>1.14876224054541</c:v>
                </c:pt>
                <c:pt idx="40">
                  <c:v>1.15024015960899</c:v>
                </c:pt>
                <c:pt idx="41">
                  <c:v>1.15169855625096</c:v>
                </c:pt>
                <c:pt idx="42">
                  <c:v>1.15304680354894</c:v>
                </c:pt>
                <c:pt idx="43">
                  <c:v>1.15450331686924</c:v>
                </c:pt>
                <c:pt idx="44">
                  <c:v>1.15583481346913</c:v>
                </c:pt>
                <c:pt idx="45">
                  <c:v>1.15731569320481</c:v>
                </c:pt>
                <c:pt idx="46">
                  <c:v>1.1586049848241</c:v>
                </c:pt>
                <c:pt idx="47">
                  <c:v>1.15991014171131</c:v>
                </c:pt>
                <c:pt idx="48">
                  <c:v>1.16135108105145</c:v>
                </c:pt>
                <c:pt idx="49">
                  <c:v>1.16264957397078</c:v>
                </c:pt>
                <c:pt idx="50">
                  <c:v>1.16390097400836</c:v>
                </c:pt>
                <c:pt idx="51">
                  <c:v>1.16541575406666</c:v>
                </c:pt>
                <c:pt idx="52">
                  <c:v>1.16677813953003</c:v>
                </c:pt>
                <c:pt idx="53">
                  <c:v>1.1680478908432</c:v>
                </c:pt>
                <c:pt idx="54">
                  <c:v>1.16948921191137</c:v>
                </c:pt>
                <c:pt idx="55">
                  <c:v>1.1708640705071</c:v>
                </c:pt>
                <c:pt idx="56">
                  <c:v>1.1722266137575</c:v>
                </c:pt>
                <c:pt idx="57">
                  <c:v>1.17358626089353</c:v>
                </c:pt>
                <c:pt idx="58">
                  <c:v>1.17512309277602</c:v>
                </c:pt>
                <c:pt idx="59">
                  <c:v>1.17667138224045</c:v>
                </c:pt>
                <c:pt idx="60">
                  <c:v>1.17797106904278</c:v>
                </c:pt>
                <c:pt idx="61">
                  <c:v>1.17970262603686</c:v>
                </c:pt>
                <c:pt idx="62">
                  <c:v>1.18126799115803</c:v>
                </c:pt>
                <c:pt idx="63">
                  <c:v>1.18272100746485</c:v>
                </c:pt>
                <c:pt idx="64">
                  <c:v>1.18404247837637</c:v>
                </c:pt>
                <c:pt idx="65">
                  <c:v>1.18559190247906</c:v>
                </c:pt>
                <c:pt idx="66">
                  <c:v>1.18697604831307</c:v>
                </c:pt>
                <c:pt idx="67">
                  <c:v>1.18869367412493</c:v>
                </c:pt>
                <c:pt idx="68">
                  <c:v>1.19007141300726</c:v>
                </c:pt>
                <c:pt idx="69">
                  <c:v>1.19182047255581</c:v>
                </c:pt>
                <c:pt idx="70">
                  <c:v>1.19345464822749</c:v>
                </c:pt>
                <c:pt idx="71">
                  <c:v>1.19510386146733</c:v>
                </c:pt>
                <c:pt idx="72">
                  <c:v>1.19676478501009</c:v>
                </c:pt>
                <c:pt idx="73">
                  <c:v>1.19824614242114</c:v>
                </c:pt>
                <c:pt idx="74">
                  <c:v>1.2000157107499</c:v>
                </c:pt>
                <c:pt idx="75">
                  <c:v>1.20182492646044</c:v>
                </c:pt>
                <c:pt idx="76">
                  <c:v>1.20381244022508</c:v>
                </c:pt>
                <c:pt idx="77">
                  <c:v>1.20574136478831</c:v>
                </c:pt>
                <c:pt idx="78">
                  <c:v>1.20757961372912</c:v>
                </c:pt>
                <c:pt idx="79">
                  <c:v>1.20967508216823</c:v>
                </c:pt>
                <c:pt idx="80">
                  <c:v>1.2119958908274</c:v>
                </c:pt>
                <c:pt idx="81">
                  <c:v>1.2138960199227</c:v>
                </c:pt>
                <c:pt idx="82">
                  <c:v>1.21597513193366</c:v>
                </c:pt>
                <c:pt idx="83">
                  <c:v>1.21822557954792</c:v>
                </c:pt>
                <c:pt idx="84">
                  <c:v>1.22058293019343</c:v>
                </c:pt>
                <c:pt idx="85">
                  <c:v>1.2230444945109</c:v>
                </c:pt>
                <c:pt idx="86">
                  <c:v>1.22539702503144</c:v>
                </c:pt>
                <c:pt idx="87">
                  <c:v>1.22801263788463</c:v>
                </c:pt>
                <c:pt idx="88">
                  <c:v>1.23145264861142</c:v>
                </c:pt>
                <c:pt idx="89">
                  <c:v>1.23425313898124</c:v>
                </c:pt>
                <c:pt idx="90">
                  <c:v>1.2377722656852</c:v>
                </c:pt>
                <c:pt idx="91">
                  <c:v>1.24134264383515</c:v>
                </c:pt>
                <c:pt idx="92">
                  <c:v>1.24520965480817</c:v>
                </c:pt>
                <c:pt idx="93">
                  <c:v>1.24968379426706</c:v>
                </c:pt>
                <c:pt idx="94">
                  <c:v>1.25486234844108</c:v>
                </c:pt>
                <c:pt idx="95">
                  <c:v>1.26178839061027</c:v>
                </c:pt>
                <c:pt idx="96">
                  <c:v>1.26929521566994</c:v>
                </c:pt>
                <c:pt idx="97">
                  <c:v>1.2790721324203</c:v>
                </c:pt>
                <c:pt idx="98">
                  <c:v>1.29606383383886</c:v>
                </c:pt>
              </c:numCache>
            </c:numRef>
          </c:yVal>
        </c:ser>
        <c:ser>
          <c:idx val="1"/>
          <c:order val="1"/>
          <c:tx>
            <c:v>Forward</c:v>
          </c:tx>
          <c:spPr>
            <a:ln w="28575">
              <a:solidFill>
                <a:srgbClr val="2A78D6"/>
              </a:solidFill>
              <a:prstDash val="solid"/>
            </a:ln>
          </c:spPr>
          <c:marker>
            <c:symbol val="none"/>
          </c:marker>
          <c:xVal>
            <c:numRef>
              <c:f>Distribution!$A$3:$A$101</c:f>
              <c:numCache>
                <c:formatCode>General</c:formatCode>
                <c:ptCount val="99"/>
                <c:pt idx="0">
                  <c:v>0.01</c:v>
                </c:pt>
                <c:pt idx="1">
                  <c:v>0.02</c:v>
                </c:pt>
                <c:pt idx="2">
                  <c:v>0.03</c:v>
                </c:pt>
                <c:pt idx="3">
                  <c:v>0.04</c:v>
                </c:pt>
                <c:pt idx="4">
                  <c:v>0.05</c:v>
                </c:pt>
                <c:pt idx="5">
                  <c:v>0.06</c:v>
                </c:pt>
                <c:pt idx="6">
                  <c:v>0.07000000000000001</c:v>
                </c:pt>
                <c:pt idx="7">
                  <c:v>0.08</c:v>
                </c:pt>
                <c:pt idx="8">
                  <c:v>0.09</c:v>
                </c:pt>
                <c:pt idx="9">
                  <c:v>0.1</c:v>
                </c:pt>
                <c:pt idx="10">
                  <c:v>0.11</c:v>
                </c:pt>
                <c:pt idx="11">
                  <c:v>0.12</c:v>
                </c:pt>
                <c:pt idx="12">
                  <c:v>0.13</c:v>
                </c:pt>
                <c:pt idx="13">
                  <c:v>0.14</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c:v>
                </c:pt>
                <c:pt idx="28">
                  <c:v>0.29</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c:v>
                </c:pt>
                <c:pt idx="55">
                  <c:v>0.5600000000000001</c:v>
                </c:pt>
                <c:pt idx="56">
                  <c:v>0.57</c:v>
                </c:pt>
                <c:pt idx="57">
                  <c:v>0.58</c:v>
                </c:pt>
                <c:pt idx="58">
                  <c:v>0.59</c:v>
                </c:pt>
                <c:pt idx="59">
                  <c:v>0.6</c:v>
                </c:pt>
                <c:pt idx="60">
                  <c:v>0.61</c:v>
                </c:pt>
                <c:pt idx="61">
                  <c:v>0.62</c:v>
                </c:pt>
                <c:pt idx="62">
                  <c:v>0.63</c:v>
                </c:pt>
                <c:pt idx="63">
                  <c:v>0.64</c:v>
                </c:pt>
                <c:pt idx="64">
                  <c:v>0.65</c:v>
                </c:pt>
                <c:pt idx="65">
                  <c:v>0.66</c:v>
                </c:pt>
                <c:pt idx="66">
                  <c:v>0.67</c:v>
                </c:pt>
                <c:pt idx="67">
                  <c:v>0.68</c:v>
                </c:pt>
                <c:pt idx="68">
                  <c:v>0.6899999999999999</c:v>
                </c:pt>
                <c:pt idx="69">
                  <c:v>0.7</c:v>
                </c:pt>
                <c:pt idx="70">
                  <c:v>0.71</c:v>
                </c:pt>
                <c:pt idx="71">
                  <c:v>0.72</c:v>
                </c:pt>
                <c:pt idx="72">
                  <c:v>0.73</c:v>
                </c:pt>
                <c:pt idx="73">
                  <c:v>0.74</c:v>
                </c:pt>
                <c:pt idx="74">
                  <c:v>0.75</c:v>
                </c:pt>
                <c:pt idx="75">
                  <c:v>0.76</c:v>
                </c:pt>
                <c:pt idx="76">
                  <c:v>0.77</c:v>
                </c:pt>
                <c:pt idx="77">
                  <c:v>0.78</c:v>
                </c:pt>
                <c:pt idx="78">
                  <c:v>0.79</c:v>
                </c:pt>
                <c:pt idx="79">
                  <c:v>0.8</c:v>
                </c:pt>
                <c:pt idx="80">
                  <c:v>0.8100000000000001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0.9399999999999999</c:v>
                </c:pt>
                <c:pt idx="94">
                  <c:v>0.95</c:v>
                </c:pt>
                <c:pt idx="95">
                  <c:v>0.96</c:v>
                </c:pt>
                <c:pt idx="96">
                  <c:v>0.97</c:v>
                </c:pt>
                <c:pt idx="97">
                  <c:v>0.98</c:v>
                </c:pt>
                <c:pt idx="98">
                  <c:v>0.99</c:v>
                </c:pt>
              </c:numCache>
            </c:numRef>
          </c:xVal>
          <c:yVal>
            <c:numRef>
              <c:f>Distribution!$C$3:$C$101</c:f>
              <c:numCache>
                <c:formatCode>General</c:formatCode>
                <c:ptCount val="99"/>
                <c:pt idx="0">
                  <c:v>1.17423756497129</c:v>
                </c:pt>
                <c:pt idx="1">
                  <c:v>1.17423756497129</c:v>
                </c:pt>
                <c:pt idx="2">
                  <c:v>1.17423756497129</c:v>
                </c:pt>
                <c:pt idx="3">
                  <c:v>1.17423756497129</c:v>
                </c:pt>
                <c:pt idx="4">
                  <c:v>1.17423756497129</c:v>
                </c:pt>
                <c:pt idx="5">
                  <c:v>1.17423756497129</c:v>
                </c:pt>
                <c:pt idx="6">
                  <c:v>1.17423756497129</c:v>
                </c:pt>
                <c:pt idx="7">
                  <c:v>1.17423756497129</c:v>
                </c:pt>
                <c:pt idx="8">
                  <c:v>1.17423756497129</c:v>
                </c:pt>
                <c:pt idx="9">
                  <c:v>1.17423756497129</c:v>
                </c:pt>
                <c:pt idx="10">
                  <c:v>1.17423756497129</c:v>
                </c:pt>
                <c:pt idx="11">
                  <c:v>1.17423756497129</c:v>
                </c:pt>
                <c:pt idx="12">
                  <c:v>1.17423756497129</c:v>
                </c:pt>
                <c:pt idx="13">
                  <c:v>1.17423756497129</c:v>
                </c:pt>
                <c:pt idx="14">
                  <c:v>1.17423756497129</c:v>
                </c:pt>
                <c:pt idx="15">
                  <c:v>1.17423756497129</c:v>
                </c:pt>
                <c:pt idx="16">
                  <c:v>1.17423756497129</c:v>
                </c:pt>
                <c:pt idx="17">
                  <c:v>1.17423756497129</c:v>
                </c:pt>
                <c:pt idx="18">
                  <c:v>1.17423756497129</c:v>
                </c:pt>
                <c:pt idx="19">
                  <c:v>1.17423756497129</c:v>
                </c:pt>
                <c:pt idx="20">
                  <c:v>1.17423756497129</c:v>
                </c:pt>
                <c:pt idx="21">
                  <c:v>1.17423756497129</c:v>
                </c:pt>
                <c:pt idx="22">
                  <c:v>1.17423756497129</c:v>
                </c:pt>
                <c:pt idx="23">
                  <c:v>1.17423756497129</c:v>
                </c:pt>
                <c:pt idx="24">
                  <c:v>1.17423756497129</c:v>
                </c:pt>
                <c:pt idx="25">
                  <c:v>1.17423756497129</c:v>
                </c:pt>
                <c:pt idx="26">
                  <c:v>1.17423756497129</c:v>
                </c:pt>
                <c:pt idx="27">
                  <c:v>1.17423756497129</c:v>
                </c:pt>
                <c:pt idx="28">
                  <c:v>1.17423756497129</c:v>
                </c:pt>
                <c:pt idx="29">
                  <c:v>1.17423756497129</c:v>
                </c:pt>
                <c:pt idx="30">
                  <c:v>1.17423756497129</c:v>
                </c:pt>
                <c:pt idx="31">
                  <c:v>1.17423756497129</c:v>
                </c:pt>
                <c:pt idx="32">
                  <c:v>1.17423756497129</c:v>
                </c:pt>
                <c:pt idx="33">
                  <c:v>1.17423756497129</c:v>
                </c:pt>
                <c:pt idx="34">
                  <c:v>1.17423756497129</c:v>
                </c:pt>
                <c:pt idx="35">
                  <c:v>1.17423756497129</c:v>
                </c:pt>
                <c:pt idx="36">
                  <c:v>1.17423756497129</c:v>
                </c:pt>
                <c:pt idx="37">
                  <c:v>1.17423756497129</c:v>
                </c:pt>
                <c:pt idx="38">
                  <c:v>1.17423756497129</c:v>
                </c:pt>
                <c:pt idx="39">
                  <c:v>1.17423756497129</c:v>
                </c:pt>
                <c:pt idx="40">
                  <c:v>1.17423756497129</c:v>
                </c:pt>
                <c:pt idx="41">
                  <c:v>1.17423756497129</c:v>
                </c:pt>
                <c:pt idx="42">
                  <c:v>1.17423756497129</c:v>
                </c:pt>
                <c:pt idx="43">
                  <c:v>1.17423756497129</c:v>
                </c:pt>
                <c:pt idx="44">
                  <c:v>1.17423756497129</c:v>
                </c:pt>
                <c:pt idx="45">
                  <c:v>1.17423756497129</c:v>
                </c:pt>
                <c:pt idx="46">
                  <c:v>1.17423756497129</c:v>
                </c:pt>
                <c:pt idx="47">
                  <c:v>1.17423756497129</c:v>
                </c:pt>
                <c:pt idx="48">
                  <c:v>1.17423756497129</c:v>
                </c:pt>
                <c:pt idx="49">
                  <c:v>1.17423756497129</c:v>
                </c:pt>
                <c:pt idx="50">
                  <c:v>1.17423756497129</c:v>
                </c:pt>
                <c:pt idx="51">
                  <c:v>1.17423756497129</c:v>
                </c:pt>
                <c:pt idx="52">
                  <c:v>1.17423756497129</c:v>
                </c:pt>
                <c:pt idx="53">
                  <c:v>1.17423756497129</c:v>
                </c:pt>
                <c:pt idx="54">
                  <c:v>1.17423756497129</c:v>
                </c:pt>
                <c:pt idx="55">
                  <c:v>1.17423756497129</c:v>
                </c:pt>
                <c:pt idx="56">
                  <c:v>1.17423756497129</c:v>
                </c:pt>
                <c:pt idx="57">
                  <c:v>1.17423756497129</c:v>
                </c:pt>
                <c:pt idx="58">
                  <c:v>1.17423756497129</c:v>
                </c:pt>
                <c:pt idx="59">
                  <c:v>1.17423756497129</c:v>
                </c:pt>
                <c:pt idx="60">
                  <c:v>1.17423756497129</c:v>
                </c:pt>
                <c:pt idx="61">
                  <c:v>1.17423756497129</c:v>
                </c:pt>
                <c:pt idx="62">
                  <c:v>1.17423756497129</c:v>
                </c:pt>
                <c:pt idx="63">
                  <c:v>1.17423756497129</c:v>
                </c:pt>
                <c:pt idx="64">
                  <c:v>1.17423756497129</c:v>
                </c:pt>
                <c:pt idx="65">
                  <c:v>1.17423756497129</c:v>
                </c:pt>
                <c:pt idx="66">
                  <c:v>1.17423756497129</c:v>
                </c:pt>
                <c:pt idx="67">
                  <c:v>1.17423756497129</c:v>
                </c:pt>
                <c:pt idx="68">
                  <c:v>1.17423756497129</c:v>
                </c:pt>
                <c:pt idx="69">
                  <c:v>1.17423756497129</c:v>
                </c:pt>
                <c:pt idx="70">
                  <c:v>1.17423756497129</c:v>
                </c:pt>
                <c:pt idx="71">
                  <c:v>1.17423756497129</c:v>
                </c:pt>
                <c:pt idx="72">
                  <c:v>1.17423756497129</c:v>
                </c:pt>
                <c:pt idx="73">
                  <c:v>1.17423756497129</c:v>
                </c:pt>
                <c:pt idx="74">
                  <c:v>1.17423756497129</c:v>
                </c:pt>
                <c:pt idx="75">
                  <c:v>1.17423756497129</c:v>
                </c:pt>
                <c:pt idx="76">
                  <c:v>1.17423756497129</c:v>
                </c:pt>
                <c:pt idx="77">
                  <c:v>1.17423756497129</c:v>
                </c:pt>
                <c:pt idx="78">
                  <c:v>1.17423756497129</c:v>
                </c:pt>
                <c:pt idx="79">
                  <c:v>1.17423756497129</c:v>
                </c:pt>
                <c:pt idx="80">
                  <c:v>1.17423756497129</c:v>
                </c:pt>
                <c:pt idx="81">
                  <c:v>1.17423756497129</c:v>
                </c:pt>
                <c:pt idx="82">
                  <c:v>1.17423756497129</c:v>
                </c:pt>
                <c:pt idx="83">
                  <c:v>1.17423756497129</c:v>
                </c:pt>
                <c:pt idx="84">
                  <c:v>1.17423756497129</c:v>
                </c:pt>
                <c:pt idx="85">
                  <c:v>1.17423756497129</c:v>
                </c:pt>
                <c:pt idx="86">
                  <c:v>1.17423756497129</c:v>
                </c:pt>
                <c:pt idx="87">
                  <c:v>1.17423756497129</c:v>
                </c:pt>
                <c:pt idx="88">
                  <c:v>1.17423756497129</c:v>
                </c:pt>
                <c:pt idx="89">
                  <c:v>1.17423756497129</c:v>
                </c:pt>
                <c:pt idx="90">
                  <c:v>1.17423756497129</c:v>
                </c:pt>
                <c:pt idx="91">
                  <c:v>1.17423756497129</c:v>
                </c:pt>
                <c:pt idx="92">
                  <c:v>1.17423756497129</c:v>
                </c:pt>
                <c:pt idx="93">
                  <c:v>1.17423756497129</c:v>
                </c:pt>
                <c:pt idx="94">
                  <c:v>1.17423756497129</c:v>
                </c:pt>
                <c:pt idx="95">
                  <c:v>1.17423756497129</c:v>
                </c:pt>
                <c:pt idx="96">
                  <c:v>1.17423756497129</c:v>
                </c:pt>
                <c:pt idx="97">
                  <c:v>1.17423756497129</c:v>
                </c:pt>
                <c:pt idx="98">
                  <c:v>1.17423756497129</c:v>
                </c:pt>
              </c:numCache>
            </c:numRef>
          </c:yVal>
        </c:ser>
        <c:ser>
          <c:idx val="2"/>
          <c:order val="2"/>
          <c:tx>
            <c:v>Vanilla option</c:v>
          </c:tx>
          <c:spPr>
            <a:ln w="28575">
              <a:solidFill>
                <a:srgbClr val="EB6834"/>
              </a:solidFill>
              <a:prstDash val="solid"/>
            </a:ln>
          </c:spPr>
          <c:marker>
            <c:symbol val="none"/>
          </c:marker>
          <c:xVal>
            <c:numRef>
              <c:f>Distribution!$A$3:$A$101</c:f>
              <c:numCache>
                <c:formatCode>General</c:formatCode>
                <c:ptCount val="99"/>
                <c:pt idx="0">
                  <c:v>0.01</c:v>
                </c:pt>
                <c:pt idx="1">
                  <c:v>0.02</c:v>
                </c:pt>
                <c:pt idx="2">
                  <c:v>0.03</c:v>
                </c:pt>
                <c:pt idx="3">
                  <c:v>0.04</c:v>
                </c:pt>
                <c:pt idx="4">
                  <c:v>0.05</c:v>
                </c:pt>
                <c:pt idx="5">
                  <c:v>0.06</c:v>
                </c:pt>
                <c:pt idx="6">
                  <c:v>0.07000000000000001</c:v>
                </c:pt>
                <c:pt idx="7">
                  <c:v>0.08</c:v>
                </c:pt>
                <c:pt idx="8">
                  <c:v>0.09</c:v>
                </c:pt>
                <c:pt idx="9">
                  <c:v>0.1</c:v>
                </c:pt>
                <c:pt idx="10">
                  <c:v>0.11</c:v>
                </c:pt>
                <c:pt idx="11">
                  <c:v>0.12</c:v>
                </c:pt>
                <c:pt idx="12">
                  <c:v>0.13</c:v>
                </c:pt>
                <c:pt idx="13">
                  <c:v>0.14</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c:v>
                </c:pt>
                <c:pt idx="28">
                  <c:v>0.29</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c:v>
                </c:pt>
                <c:pt idx="55">
                  <c:v>0.5600000000000001</c:v>
                </c:pt>
                <c:pt idx="56">
                  <c:v>0.57</c:v>
                </c:pt>
                <c:pt idx="57">
                  <c:v>0.58</c:v>
                </c:pt>
                <c:pt idx="58">
                  <c:v>0.59</c:v>
                </c:pt>
                <c:pt idx="59">
                  <c:v>0.6</c:v>
                </c:pt>
                <c:pt idx="60">
                  <c:v>0.61</c:v>
                </c:pt>
                <c:pt idx="61">
                  <c:v>0.62</c:v>
                </c:pt>
                <c:pt idx="62">
                  <c:v>0.63</c:v>
                </c:pt>
                <c:pt idx="63">
                  <c:v>0.64</c:v>
                </c:pt>
                <c:pt idx="64">
                  <c:v>0.65</c:v>
                </c:pt>
                <c:pt idx="65">
                  <c:v>0.66</c:v>
                </c:pt>
                <c:pt idx="66">
                  <c:v>0.67</c:v>
                </c:pt>
                <c:pt idx="67">
                  <c:v>0.68</c:v>
                </c:pt>
                <c:pt idx="68">
                  <c:v>0.6899999999999999</c:v>
                </c:pt>
                <c:pt idx="69">
                  <c:v>0.7</c:v>
                </c:pt>
                <c:pt idx="70">
                  <c:v>0.71</c:v>
                </c:pt>
                <c:pt idx="71">
                  <c:v>0.72</c:v>
                </c:pt>
                <c:pt idx="72">
                  <c:v>0.73</c:v>
                </c:pt>
                <c:pt idx="73">
                  <c:v>0.74</c:v>
                </c:pt>
                <c:pt idx="74">
                  <c:v>0.75</c:v>
                </c:pt>
                <c:pt idx="75">
                  <c:v>0.76</c:v>
                </c:pt>
                <c:pt idx="76">
                  <c:v>0.77</c:v>
                </c:pt>
                <c:pt idx="77">
                  <c:v>0.78</c:v>
                </c:pt>
                <c:pt idx="78">
                  <c:v>0.79</c:v>
                </c:pt>
                <c:pt idx="79">
                  <c:v>0.8</c:v>
                </c:pt>
                <c:pt idx="80">
                  <c:v>0.8100000000000001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0.9399999999999999</c:v>
                </c:pt>
                <c:pt idx="94">
                  <c:v>0.95</c:v>
                </c:pt>
                <c:pt idx="95">
                  <c:v>0.96</c:v>
                </c:pt>
                <c:pt idx="96">
                  <c:v>0.97</c:v>
                </c:pt>
                <c:pt idx="97">
                  <c:v>0.98</c:v>
                </c:pt>
                <c:pt idx="98">
                  <c:v>0.99</c:v>
                </c:pt>
              </c:numCache>
            </c:numRef>
          </c:xVal>
          <c:yVal>
            <c:numRef>
              <c:f>Distribution!$D$3:$D$101</c:f>
              <c:numCache>
                <c:formatCode>General</c:formatCode>
                <c:ptCount val="99"/>
                <c:pt idx="0">
                  <c:v>1.05920385919349</c:v>
                </c:pt>
                <c:pt idx="1">
                  <c:v>1.07358178645455</c:v>
                </c:pt>
                <c:pt idx="2">
                  <c:v>1.0824359285835</c:v>
                </c:pt>
                <c:pt idx="3">
                  <c:v>1.08935689608709</c:v>
                </c:pt>
                <c:pt idx="4">
                  <c:v>1.09507385251608</c:v>
                </c:pt>
                <c:pt idx="5">
                  <c:v>1.10041301341959</c:v>
                </c:pt>
                <c:pt idx="6">
                  <c:v>1.10453665565045</c:v>
                </c:pt>
                <c:pt idx="7">
                  <c:v>1.10828089646744</c:v>
                </c:pt>
                <c:pt idx="8">
                  <c:v>1.1115158030201</c:v>
                </c:pt>
                <c:pt idx="9">
                  <c:v>1.11459738475958</c:v>
                </c:pt>
                <c:pt idx="10">
                  <c:v>1.11730053393836</c:v>
                </c:pt>
                <c:pt idx="11">
                  <c:v>1.1205769448692</c:v>
                </c:pt>
                <c:pt idx="12">
                  <c:v>1.12289560322249</c:v>
                </c:pt>
                <c:pt idx="13">
                  <c:v>1.12510097507897</c:v>
                </c:pt>
                <c:pt idx="14">
                  <c:v>1.12735208205469</c:v>
                </c:pt>
                <c:pt idx="15">
                  <c:v>1.12971006053403</c:v>
                </c:pt>
                <c:pt idx="16">
                  <c:v>1.1317992737874</c:v>
                </c:pt>
                <c:pt idx="17">
                  <c:v>1.13394883683496</c:v>
                </c:pt>
                <c:pt idx="18">
                  <c:v>1.13574250675623</c:v>
                </c:pt>
                <c:pt idx="19">
                  <c:v>1.13775355488821</c:v>
                </c:pt>
                <c:pt idx="20">
                  <c:v>1.13974549768798</c:v>
                </c:pt>
                <c:pt idx="21">
                  <c:v>1.14154857928929</c:v>
                </c:pt>
                <c:pt idx="22">
                  <c:v>1.14342795868064</c:v>
                </c:pt>
                <c:pt idx="23">
                  <c:v>1.14520900545214</c:v>
                </c:pt>
                <c:pt idx="24">
                  <c:v>1.14705463819925</c:v>
                </c:pt>
                <c:pt idx="25">
                  <c:v>1.14878239446905</c:v>
                </c:pt>
                <c:pt idx="26">
                  <c:v>1.15019604398067</c:v>
                </c:pt>
                <c:pt idx="27">
                  <c:v>1.15177361961653</c:v>
                </c:pt>
                <c:pt idx="28">
                  <c:v>1.15330519431353</c:v>
                </c:pt>
                <c:pt idx="29">
                  <c:v>1.15478284223083</c:v>
                </c:pt>
                <c:pt idx="30">
                  <c:v>1.1562082237752</c:v>
                </c:pt>
                <c:pt idx="31">
                  <c:v>1.15765830061586</c:v>
                </c:pt>
                <c:pt idx="32">
                  <c:v>1.15907833433268</c:v>
                </c:pt>
                <c:pt idx="33">
                  <c:v>1.16048844519173</c:v>
                </c:pt>
                <c:pt idx="34">
                  <c:v>1.16155652481133</c:v>
                </c:pt>
                <c:pt idx="35">
                  <c:v>1.16276318212327</c:v>
                </c:pt>
                <c:pt idx="36">
                  <c:v>1.16420323582659</c:v>
                </c:pt>
                <c:pt idx="37">
                  <c:v>1.165575346769</c:v>
                </c:pt>
                <c:pt idx="38">
                  <c:v>1.16684614624758</c:v>
                </c:pt>
                <c:pt idx="39">
                  <c:v>1.16818206572689</c:v>
                </c:pt>
                <c:pt idx="40">
                  <c:v>1.16931847048006</c:v>
                </c:pt>
                <c:pt idx="41">
                  <c:v>1.17058590623044</c:v>
                </c:pt>
                <c:pt idx="42">
                  <c:v>1.17163098462983</c:v>
                </c:pt>
                <c:pt idx="43">
                  <c:v>1.17284133223737</c:v>
                </c:pt>
                <c:pt idx="44">
                  <c:v>1.1740541481843</c:v>
                </c:pt>
                <c:pt idx="45">
                  <c:v>1.17512119675801</c:v>
                </c:pt>
                <c:pt idx="46">
                  <c:v>1.17639572969264</c:v>
                </c:pt>
                <c:pt idx="47">
                  <c:v>1.17737046728448</c:v>
                </c:pt>
                <c:pt idx="48">
                  <c:v>1.17838405972038</c:v>
                </c:pt>
                <c:pt idx="49">
                  <c:v>1.1794249590927</c:v>
                </c:pt>
                <c:pt idx="50">
                  <c:v>1.18038580906579</c:v>
                </c:pt>
                <c:pt idx="51">
                  <c:v>1.1813021641274</c:v>
                </c:pt>
                <c:pt idx="52">
                  <c:v>1.18227416790655</c:v>
                </c:pt>
                <c:pt idx="53">
                  <c:v>1.18323631288685</c:v>
                </c:pt>
                <c:pt idx="54">
                  <c:v>1.18418569931196</c:v>
                </c:pt>
                <c:pt idx="55">
                  <c:v>1.18505281566099</c:v>
                </c:pt>
                <c:pt idx="56">
                  <c:v>1.18594773230185</c:v>
                </c:pt>
                <c:pt idx="57">
                  <c:v>1.18673145937061</c:v>
                </c:pt>
                <c:pt idx="58">
                  <c:v>1.1875708014346</c:v>
                </c:pt>
                <c:pt idx="59">
                  <c:v>1.18837445534202</c:v>
                </c:pt>
                <c:pt idx="60">
                  <c:v>1.18913447221068</c:v>
                </c:pt>
                <c:pt idx="61">
                  <c:v>1.18991761278578</c:v>
                </c:pt>
                <c:pt idx="62">
                  <c:v>1.19064285091134</c:v>
                </c:pt>
                <c:pt idx="63">
                  <c:v>1.19142852372025</c:v>
                </c:pt>
                <c:pt idx="64">
                  <c:v>1.19216908241419</c:v>
                </c:pt>
                <c:pt idx="65">
                  <c:v>1.19287436971373</c:v>
                </c:pt>
                <c:pt idx="66">
                  <c:v>1.1935236117772</c:v>
                </c:pt>
                <c:pt idx="67">
                  <c:v>1.19417503382992</c:v>
                </c:pt>
                <c:pt idx="68">
                  <c:v>1.19482568429352</c:v>
                </c:pt>
                <c:pt idx="69">
                  <c:v>1.1954276701675</c:v>
                </c:pt>
                <c:pt idx="70">
                  <c:v>1.19598352362129</c:v>
                </c:pt>
                <c:pt idx="71">
                  <c:v>1.19654641519006</c:v>
                </c:pt>
                <c:pt idx="72">
                  <c:v>1.19700744152429</c:v>
                </c:pt>
                <c:pt idx="73">
                  <c:v>1.19754728231677</c:v>
                </c:pt>
                <c:pt idx="74">
                  <c:v>1.19794361009838</c:v>
                </c:pt>
                <c:pt idx="75">
                  <c:v>1.19837248292741</c:v>
                </c:pt>
                <c:pt idx="76">
                  <c:v>1.19881596850709</c:v>
                </c:pt>
                <c:pt idx="77">
                  <c:v>1.19927849393925</c:v>
                </c:pt>
                <c:pt idx="78">
                  <c:v>1.19973714811176</c:v>
                </c:pt>
                <c:pt idx="79">
                  <c:v>1.20007639704114</c:v>
                </c:pt>
                <c:pt idx="80">
                  <c:v>1.20042252547623</c:v>
                </c:pt>
                <c:pt idx="81">
                  <c:v>1.20080865654807</c:v>
                </c:pt>
                <c:pt idx="82">
                  <c:v>1.20112308734873</c:v>
                </c:pt>
                <c:pt idx="83">
                  <c:v>1.20142488403529</c:v>
                </c:pt>
                <c:pt idx="84">
                  <c:v>1.20168961911757</c:v>
                </c:pt>
                <c:pt idx="85">
                  <c:v>1.20195803663701</c:v>
                </c:pt>
                <c:pt idx="86">
                  <c:v>1.20220886093724</c:v>
                </c:pt>
                <c:pt idx="87">
                  <c:v>1.20244944999078</c:v>
                </c:pt>
                <c:pt idx="88">
                  <c:v>1.20266575276225</c:v>
                </c:pt>
                <c:pt idx="89">
                  <c:v>1.20291180914872</c:v>
                </c:pt>
                <c:pt idx="90">
                  <c:v>1.20311490128144</c:v>
                </c:pt>
                <c:pt idx="91">
                  <c:v>1.20334502624524</c:v>
                </c:pt>
                <c:pt idx="92">
                  <c:v>1.20356373235917</c:v>
                </c:pt>
                <c:pt idx="93">
                  <c:v>1.2036369464822</c:v>
                </c:pt>
                <c:pt idx="94">
                  <c:v>1.2036369464822</c:v>
                </c:pt>
                <c:pt idx="95">
                  <c:v>1.2036369464822</c:v>
                </c:pt>
                <c:pt idx="96">
                  <c:v>1.2036369464822</c:v>
                </c:pt>
                <c:pt idx="97">
                  <c:v>1.2036369464822</c:v>
                </c:pt>
                <c:pt idx="98">
                  <c:v>1.2036369464822</c:v>
                </c:pt>
              </c:numCache>
            </c:numRef>
          </c:yVal>
        </c:ser>
        <c:ser>
          <c:idx val="3"/>
          <c:order val="3"/>
          <c:tx>
            <c:v>Zero-cost collar</c:v>
          </c:tx>
          <c:spPr>
            <a:ln w="28575">
              <a:solidFill>
                <a:srgbClr val="1BAF7A"/>
              </a:solidFill>
              <a:prstDash val="solid"/>
            </a:ln>
          </c:spPr>
          <c:marker>
            <c:symbol val="none"/>
          </c:marker>
          <c:xVal>
            <c:numRef>
              <c:f>Distribution!$A$3:$A$101</c:f>
              <c:numCache>
                <c:formatCode>General</c:formatCode>
                <c:ptCount val="99"/>
                <c:pt idx="0">
                  <c:v>0.01</c:v>
                </c:pt>
                <c:pt idx="1">
                  <c:v>0.02</c:v>
                </c:pt>
                <c:pt idx="2">
                  <c:v>0.03</c:v>
                </c:pt>
                <c:pt idx="3">
                  <c:v>0.04</c:v>
                </c:pt>
                <c:pt idx="4">
                  <c:v>0.05</c:v>
                </c:pt>
                <c:pt idx="5">
                  <c:v>0.06</c:v>
                </c:pt>
                <c:pt idx="6">
                  <c:v>0.07000000000000001</c:v>
                </c:pt>
                <c:pt idx="7">
                  <c:v>0.08</c:v>
                </c:pt>
                <c:pt idx="8">
                  <c:v>0.09</c:v>
                </c:pt>
                <c:pt idx="9">
                  <c:v>0.1</c:v>
                </c:pt>
                <c:pt idx="10">
                  <c:v>0.11</c:v>
                </c:pt>
                <c:pt idx="11">
                  <c:v>0.12</c:v>
                </c:pt>
                <c:pt idx="12">
                  <c:v>0.13</c:v>
                </c:pt>
                <c:pt idx="13">
                  <c:v>0.14</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c:v>
                </c:pt>
                <c:pt idx="28">
                  <c:v>0.29</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c:v>
                </c:pt>
                <c:pt idx="55">
                  <c:v>0.5600000000000001</c:v>
                </c:pt>
                <c:pt idx="56">
                  <c:v>0.57</c:v>
                </c:pt>
                <c:pt idx="57">
                  <c:v>0.58</c:v>
                </c:pt>
                <c:pt idx="58">
                  <c:v>0.59</c:v>
                </c:pt>
                <c:pt idx="59">
                  <c:v>0.6</c:v>
                </c:pt>
                <c:pt idx="60">
                  <c:v>0.61</c:v>
                </c:pt>
                <c:pt idx="61">
                  <c:v>0.62</c:v>
                </c:pt>
                <c:pt idx="62">
                  <c:v>0.63</c:v>
                </c:pt>
                <c:pt idx="63">
                  <c:v>0.64</c:v>
                </c:pt>
                <c:pt idx="64">
                  <c:v>0.65</c:v>
                </c:pt>
                <c:pt idx="65">
                  <c:v>0.66</c:v>
                </c:pt>
                <c:pt idx="66">
                  <c:v>0.67</c:v>
                </c:pt>
                <c:pt idx="67">
                  <c:v>0.68</c:v>
                </c:pt>
                <c:pt idx="68">
                  <c:v>0.6899999999999999</c:v>
                </c:pt>
                <c:pt idx="69">
                  <c:v>0.7</c:v>
                </c:pt>
                <c:pt idx="70">
                  <c:v>0.71</c:v>
                </c:pt>
                <c:pt idx="71">
                  <c:v>0.72</c:v>
                </c:pt>
                <c:pt idx="72">
                  <c:v>0.73</c:v>
                </c:pt>
                <c:pt idx="73">
                  <c:v>0.74</c:v>
                </c:pt>
                <c:pt idx="74">
                  <c:v>0.75</c:v>
                </c:pt>
                <c:pt idx="75">
                  <c:v>0.76</c:v>
                </c:pt>
                <c:pt idx="76">
                  <c:v>0.77</c:v>
                </c:pt>
                <c:pt idx="77">
                  <c:v>0.78</c:v>
                </c:pt>
                <c:pt idx="78">
                  <c:v>0.79</c:v>
                </c:pt>
                <c:pt idx="79">
                  <c:v>0.8</c:v>
                </c:pt>
                <c:pt idx="80">
                  <c:v>0.8100000000000001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0.9399999999999999</c:v>
                </c:pt>
                <c:pt idx="94">
                  <c:v>0.95</c:v>
                </c:pt>
                <c:pt idx="95">
                  <c:v>0.96</c:v>
                </c:pt>
                <c:pt idx="96">
                  <c:v>0.97</c:v>
                </c:pt>
                <c:pt idx="97">
                  <c:v>0.98</c:v>
                </c:pt>
                <c:pt idx="98">
                  <c:v>0.99</c:v>
                </c:pt>
              </c:numCache>
            </c:numRef>
          </c:xVal>
          <c:yVal>
            <c:numRef>
              <c:f>Distribution!$E$3:$E$101</c:f>
              <c:numCache>
                <c:formatCode>General</c:formatCode>
                <c:ptCount val="99"/>
                <c:pt idx="0">
                  <c:v>1.168888</c:v>
                </c:pt>
                <c:pt idx="1">
                  <c:v>1.168888</c:v>
                </c:pt>
                <c:pt idx="2">
                  <c:v>1.168888</c:v>
                </c:pt>
                <c:pt idx="3">
                  <c:v>1.168888</c:v>
                </c:pt>
                <c:pt idx="4">
                  <c:v>1.168888</c:v>
                </c:pt>
                <c:pt idx="5">
                  <c:v>1.168888</c:v>
                </c:pt>
                <c:pt idx="6">
                  <c:v>1.168888</c:v>
                </c:pt>
                <c:pt idx="7">
                  <c:v>1.168888</c:v>
                </c:pt>
                <c:pt idx="8">
                  <c:v>1.168888</c:v>
                </c:pt>
                <c:pt idx="9">
                  <c:v>1.168888</c:v>
                </c:pt>
                <c:pt idx="10">
                  <c:v>1.168888</c:v>
                </c:pt>
                <c:pt idx="11">
                  <c:v>1.168888</c:v>
                </c:pt>
                <c:pt idx="12">
                  <c:v>1.168888</c:v>
                </c:pt>
                <c:pt idx="13">
                  <c:v>1.168888</c:v>
                </c:pt>
                <c:pt idx="14">
                  <c:v>1.168888</c:v>
                </c:pt>
                <c:pt idx="15">
                  <c:v>1.168888</c:v>
                </c:pt>
                <c:pt idx="16">
                  <c:v>1.168888</c:v>
                </c:pt>
                <c:pt idx="17">
                  <c:v>1.168888</c:v>
                </c:pt>
                <c:pt idx="18">
                  <c:v>1.16894974164356</c:v>
                </c:pt>
                <c:pt idx="19">
                  <c:v>1.16906252837032</c:v>
                </c:pt>
                <c:pt idx="20">
                  <c:v>1.16920049098574</c:v>
                </c:pt>
                <c:pt idx="21">
                  <c:v>1.16934066095868</c:v>
                </c:pt>
                <c:pt idx="22">
                  <c:v>1.16948849616805</c:v>
                </c:pt>
                <c:pt idx="23">
                  <c:v>1.16962798891773</c:v>
                </c:pt>
                <c:pt idx="24">
                  <c:v>1.16977465997563</c:v>
                </c:pt>
                <c:pt idx="25">
                  <c:v>1.16980600030193</c:v>
                </c:pt>
                <c:pt idx="26">
                  <c:v>1.16980600030193</c:v>
                </c:pt>
                <c:pt idx="27">
                  <c:v>1.16980600030193</c:v>
                </c:pt>
                <c:pt idx="28">
                  <c:v>1.16985922158096</c:v>
                </c:pt>
                <c:pt idx="29">
                  <c:v>1.17001487289678</c:v>
                </c:pt>
                <c:pt idx="30">
                  <c:v>1.17019524311009</c:v>
                </c:pt>
                <c:pt idx="31">
                  <c:v>1.17036149997572</c:v>
                </c:pt>
                <c:pt idx="32">
                  <c:v>1.17054259496229</c:v>
                </c:pt>
                <c:pt idx="33">
                  <c:v>1.17072544366243</c:v>
                </c:pt>
                <c:pt idx="34">
                  <c:v>1.17072544366243</c:v>
                </c:pt>
                <c:pt idx="35">
                  <c:v>1.17072937869222</c:v>
                </c:pt>
                <c:pt idx="36">
                  <c:v>1.17090806248319</c:v>
                </c:pt>
                <c:pt idx="37">
                  <c:v>1.17107837787327</c:v>
                </c:pt>
                <c:pt idx="38">
                  <c:v>1.17127742775713</c:v>
                </c:pt>
                <c:pt idx="39">
                  <c:v>1.17147916874079</c:v>
                </c:pt>
                <c:pt idx="40">
                  <c:v>1.1716463334868</c:v>
                </c:pt>
                <c:pt idx="41">
                  <c:v>1.1716463334868</c:v>
                </c:pt>
                <c:pt idx="42">
                  <c:v>1.17179577656123</c:v>
                </c:pt>
                <c:pt idx="43">
                  <c:v>1.17198180982035</c:v>
                </c:pt>
                <c:pt idx="44">
                  <c:v>1.17217488253336</c:v>
                </c:pt>
                <c:pt idx="45">
                  <c:v>1.17236784434871</c:v>
                </c:pt>
                <c:pt idx="46">
                  <c:v>1.1725686731911</c:v>
                </c:pt>
                <c:pt idx="47">
                  <c:v>1.1725686731911</c:v>
                </c:pt>
                <c:pt idx="48">
                  <c:v>1.17273449396951</c:v>
                </c:pt>
                <c:pt idx="49">
                  <c:v>1.17294828423252</c:v>
                </c:pt>
                <c:pt idx="50">
                  <c:v>1.17316631181252</c:v>
                </c:pt>
                <c:pt idx="51">
                  <c:v>1.17338092861001</c:v>
                </c:pt>
                <c:pt idx="52">
                  <c:v>1.17349246620213</c:v>
                </c:pt>
                <c:pt idx="53">
                  <c:v>1.17355052134137</c:v>
                </c:pt>
                <c:pt idx="54">
                  <c:v>1.17377931220522</c:v>
                </c:pt>
                <c:pt idx="55">
                  <c:v>1.17399229276781</c:v>
                </c:pt>
                <c:pt idx="56">
                  <c:v>1.17421707036965</c:v>
                </c:pt>
                <c:pt idx="57">
                  <c:v>1.17441771595751</c:v>
                </c:pt>
                <c:pt idx="58">
                  <c:v>1.17441920836145</c:v>
                </c:pt>
                <c:pt idx="59">
                  <c:v>1.174645359314</c:v>
                </c:pt>
                <c:pt idx="60">
                  <c:v>1.17487571641838</c:v>
                </c:pt>
                <c:pt idx="61">
                  <c:v>1.17509693864599</c:v>
                </c:pt>
                <c:pt idx="62">
                  <c:v>1.17532348044714</c:v>
                </c:pt>
                <c:pt idx="63">
                  <c:v>1.1753444259057</c:v>
                </c:pt>
                <c:pt idx="64">
                  <c:v>1.17549753047907</c:v>
                </c:pt>
                <c:pt idx="65">
                  <c:v>1.17575149276143</c:v>
                </c:pt>
                <c:pt idx="66">
                  <c:v>1.17597841335157</c:v>
                </c:pt>
                <c:pt idx="67">
                  <c:v>1.17619449598038</c:v>
                </c:pt>
                <c:pt idx="68">
                  <c:v>1.17627259950605</c:v>
                </c:pt>
                <c:pt idx="69">
                  <c:v>1.17635608209158</c:v>
                </c:pt>
                <c:pt idx="70">
                  <c:v>1.17657728661694</c:v>
                </c:pt>
                <c:pt idx="71">
                  <c:v>1.17680662928893</c:v>
                </c:pt>
                <c:pt idx="72">
                  <c:v>1.17705623815555</c:v>
                </c:pt>
                <c:pt idx="73">
                  <c:v>1.17720224022887</c:v>
                </c:pt>
                <c:pt idx="74">
                  <c:v>1.17720224022887</c:v>
                </c:pt>
                <c:pt idx="75">
                  <c:v>1.17736830706372</c:v>
                </c:pt>
                <c:pt idx="76">
                  <c:v>1.17760280509262</c:v>
                </c:pt>
                <c:pt idx="77">
                  <c:v>1.17782311558119</c:v>
                </c:pt>
                <c:pt idx="78">
                  <c:v>1.1780192208587</c:v>
                </c:pt>
                <c:pt idx="79">
                  <c:v>1.17813335155543</c:v>
                </c:pt>
                <c:pt idx="80">
                  <c:v>1.17813335155543</c:v>
                </c:pt>
                <c:pt idx="81">
                  <c:v>1.17826200596146</c:v>
                </c:pt>
                <c:pt idx="82">
                  <c:v>1.17845370797926</c:v>
                </c:pt>
                <c:pt idx="83">
                  <c:v>1.17866292050862</c:v>
                </c:pt>
                <c:pt idx="84">
                  <c:v>1.17887052622747</c:v>
                </c:pt>
                <c:pt idx="85">
                  <c:v>1.17906593697801</c:v>
                </c:pt>
                <c:pt idx="86">
                  <c:v>1.17906593697802</c:v>
                </c:pt>
                <c:pt idx="87">
                  <c:v>1.17906593697802</c:v>
                </c:pt>
                <c:pt idx="88">
                  <c:v>1.17906656143187</c:v>
                </c:pt>
                <c:pt idx="89">
                  <c:v>1.17930305517529</c:v>
                </c:pt>
                <c:pt idx="90">
                  <c:v>1.17949825298115</c:v>
                </c:pt>
                <c:pt idx="91">
                  <c:v>1.17971943127053</c:v>
                </c:pt>
                <c:pt idx="92">
                  <c:v>1.17992963310665</c:v>
                </c:pt>
                <c:pt idx="93">
                  <c:v>1.18</c:v>
                </c:pt>
                <c:pt idx="94">
                  <c:v>1.18</c:v>
                </c:pt>
                <c:pt idx="95">
                  <c:v>1.18</c:v>
                </c:pt>
                <c:pt idx="96">
                  <c:v>1.18</c:v>
                </c:pt>
                <c:pt idx="97">
                  <c:v>1.18</c:v>
                </c:pt>
                <c:pt idx="98">
                  <c:v>1.18</c:v>
                </c:pt>
              </c:numCache>
            </c:numRef>
          </c:yVal>
        </c:ser>
        <c:ser>
          <c:idx val="4"/>
          <c:order val="4"/>
          <c:tx>
            <c:v>Participating forward</c:v>
          </c:tx>
          <c:spPr>
            <a:ln w="28575">
              <a:solidFill>
                <a:srgbClr val="EDA100"/>
              </a:solidFill>
              <a:prstDash val="solid"/>
            </a:ln>
          </c:spPr>
          <c:marker>
            <c:symbol val="none"/>
          </c:marker>
          <c:xVal>
            <c:numRef>
              <c:f>Distribution!$A$3:$A$101</c:f>
              <c:numCache>
                <c:formatCode>General</c:formatCode>
                <c:ptCount val="99"/>
                <c:pt idx="0">
                  <c:v>0.01</c:v>
                </c:pt>
                <c:pt idx="1">
                  <c:v>0.02</c:v>
                </c:pt>
                <c:pt idx="2">
                  <c:v>0.03</c:v>
                </c:pt>
                <c:pt idx="3">
                  <c:v>0.04</c:v>
                </c:pt>
                <c:pt idx="4">
                  <c:v>0.05</c:v>
                </c:pt>
                <c:pt idx="5">
                  <c:v>0.06</c:v>
                </c:pt>
                <c:pt idx="6">
                  <c:v>0.07000000000000001</c:v>
                </c:pt>
                <c:pt idx="7">
                  <c:v>0.08</c:v>
                </c:pt>
                <c:pt idx="8">
                  <c:v>0.09</c:v>
                </c:pt>
                <c:pt idx="9">
                  <c:v>0.1</c:v>
                </c:pt>
                <c:pt idx="10">
                  <c:v>0.11</c:v>
                </c:pt>
                <c:pt idx="11">
                  <c:v>0.12</c:v>
                </c:pt>
                <c:pt idx="12">
                  <c:v>0.13</c:v>
                </c:pt>
                <c:pt idx="13">
                  <c:v>0.14</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c:v>
                </c:pt>
                <c:pt idx="28">
                  <c:v>0.29</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c:v>
                </c:pt>
                <c:pt idx="55">
                  <c:v>0.5600000000000001</c:v>
                </c:pt>
                <c:pt idx="56">
                  <c:v>0.57</c:v>
                </c:pt>
                <c:pt idx="57">
                  <c:v>0.58</c:v>
                </c:pt>
                <c:pt idx="58">
                  <c:v>0.59</c:v>
                </c:pt>
                <c:pt idx="59">
                  <c:v>0.6</c:v>
                </c:pt>
                <c:pt idx="60">
                  <c:v>0.61</c:v>
                </c:pt>
                <c:pt idx="61">
                  <c:v>0.62</c:v>
                </c:pt>
                <c:pt idx="62">
                  <c:v>0.63</c:v>
                </c:pt>
                <c:pt idx="63">
                  <c:v>0.64</c:v>
                </c:pt>
                <c:pt idx="64">
                  <c:v>0.65</c:v>
                </c:pt>
                <c:pt idx="65">
                  <c:v>0.66</c:v>
                </c:pt>
                <c:pt idx="66">
                  <c:v>0.67</c:v>
                </c:pt>
                <c:pt idx="67">
                  <c:v>0.68</c:v>
                </c:pt>
                <c:pt idx="68">
                  <c:v>0.6899999999999999</c:v>
                </c:pt>
                <c:pt idx="69">
                  <c:v>0.7</c:v>
                </c:pt>
                <c:pt idx="70">
                  <c:v>0.71</c:v>
                </c:pt>
                <c:pt idx="71">
                  <c:v>0.72</c:v>
                </c:pt>
                <c:pt idx="72">
                  <c:v>0.73</c:v>
                </c:pt>
                <c:pt idx="73">
                  <c:v>0.74</c:v>
                </c:pt>
                <c:pt idx="74">
                  <c:v>0.75</c:v>
                </c:pt>
                <c:pt idx="75">
                  <c:v>0.76</c:v>
                </c:pt>
                <c:pt idx="76">
                  <c:v>0.77</c:v>
                </c:pt>
                <c:pt idx="77">
                  <c:v>0.78</c:v>
                </c:pt>
                <c:pt idx="78">
                  <c:v>0.79</c:v>
                </c:pt>
                <c:pt idx="79">
                  <c:v>0.8</c:v>
                </c:pt>
                <c:pt idx="80">
                  <c:v>0.8100000000000001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0.9399999999999999</c:v>
                </c:pt>
                <c:pt idx="94">
                  <c:v>0.95</c:v>
                </c:pt>
                <c:pt idx="95">
                  <c:v>0.96</c:v>
                </c:pt>
                <c:pt idx="96">
                  <c:v>0.97</c:v>
                </c:pt>
                <c:pt idx="97">
                  <c:v>0.98</c:v>
                </c:pt>
                <c:pt idx="98">
                  <c:v>0.99</c:v>
                </c:pt>
              </c:numCache>
            </c:numRef>
          </c:xVal>
          <c:yVal>
            <c:numRef>
              <c:f>Distribution!$F$3:$F$101</c:f>
              <c:numCache>
                <c:formatCode>General</c:formatCode>
                <c:ptCount val="99"/>
                <c:pt idx="0">
                  <c:v>1.11159421531639</c:v>
                </c:pt>
                <c:pt idx="1">
                  <c:v>1.11943708999015</c:v>
                </c:pt>
                <c:pt idx="2">
                  <c:v>1.12425756593017</c:v>
                </c:pt>
                <c:pt idx="3">
                  <c:v>1.12799203029396</c:v>
                </c:pt>
                <c:pt idx="4">
                  <c:v>1.13106685303514</c:v>
                </c:pt>
                <c:pt idx="5">
                  <c:v>1.13388413306016</c:v>
                </c:pt>
                <c:pt idx="6">
                  <c:v>1.13608081005681</c:v>
                </c:pt>
                <c:pt idx="7">
                  <c:v>1.13802424074166</c:v>
                </c:pt>
                <c:pt idx="8">
                  <c:v>1.13980275231734</c:v>
                </c:pt>
                <c:pt idx="9">
                  <c:v>1.14135559689174</c:v>
                </c:pt>
                <c:pt idx="10">
                  <c:v>1.14281590550958</c:v>
                </c:pt>
                <c:pt idx="11">
                  <c:v>1.1445269763005</c:v>
                </c:pt>
                <c:pt idx="12">
                  <c:v>1.14575154929086</c:v>
                </c:pt>
                <c:pt idx="13">
                  <c:v>1.14694299174724</c:v>
                </c:pt>
                <c:pt idx="14">
                  <c:v>1.14809067200418</c:v>
                </c:pt>
                <c:pt idx="15">
                  <c:v>1.14930275255489</c:v>
                </c:pt>
                <c:pt idx="16">
                  <c:v>1.15039607985621</c:v>
                </c:pt>
                <c:pt idx="17">
                  <c:v>1.15152767059706</c:v>
                </c:pt>
                <c:pt idx="18">
                  <c:v>1.1525096011469</c:v>
                </c:pt>
                <c:pt idx="19">
                  <c:v>1.1535344077115</c:v>
                </c:pt>
                <c:pt idx="20">
                  <c:v>1.15456491356749</c:v>
                </c:pt>
                <c:pt idx="21">
                  <c:v>1.15547333598609</c:v>
                </c:pt>
                <c:pt idx="22">
                  <c:v>1.15650825906716</c:v>
                </c:pt>
                <c:pt idx="23">
                  <c:v>1.15745002307796</c:v>
                </c:pt>
                <c:pt idx="24">
                  <c:v>1.15836150425229</c:v>
                </c:pt>
                <c:pt idx="25">
                  <c:v>1.15922248412376</c:v>
                </c:pt>
                <c:pt idx="26">
                  <c:v>1.1599875187721</c:v>
                </c:pt>
                <c:pt idx="27">
                  <c:v>1.16080475982467</c:v>
                </c:pt>
                <c:pt idx="28">
                  <c:v>1.16160937310677</c:v>
                </c:pt>
                <c:pt idx="29">
                  <c:v>1.16235856862667</c:v>
                </c:pt>
                <c:pt idx="30">
                  <c:v>1.16321158690736</c:v>
                </c:pt>
                <c:pt idx="31">
                  <c:v>1.16392740594145</c:v>
                </c:pt>
                <c:pt idx="32">
                  <c:v>1.16467912702601</c:v>
                </c:pt>
                <c:pt idx="33">
                  <c:v>1.16537994148511</c:v>
                </c:pt>
                <c:pt idx="34">
                  <c:v>1.16604221919009</c:v>
                </c:pt>
                <c:pt idx="35">
                  <c:v>1.1667636173731</c:v>
                </c:pt>
                <c:pt idx="36">
                  <c:v>1.16741929278417</c:v>
                </c:pt>
                <c:pt idx="37">
                  <c:v>1.16814807009692</c:v>
                </c:pt>
                <c:pt idx="38">
                  <c:v>1.16888511614785</c:v>
                </c:pt>
                <c:pt idx="39">
                  <c:v>1.16963117408707</c:v>
                </c:pt>
                <c:pt idx="40">
                  <c:v>1.17024339454762</c:v>
                </c:pt>
                <c:pt idx="41">
                  <c:v>1.17087780777039</c:v>
                </c:pt>
                <c:pt idx="42">
                  <c:v>1.1715600049424</c:v>
                </c:pt>
                <c:pt idx="43">
                  <c:v>1.17217142586436</c:v>
                </c:pt>
                <c:pt idx="44">
                  <c:v>1.1728288402476</c:v>
                </c:pt>
                <c:pt idx="45">
                  <c:v>1.17345767954611</c:v>
                </c:pt>
                <c:pt idx="46">
                  <c:v>1.17405316857818</c:v>
                </c:pt>
                <c:pt idx="47">
                  <c:v>1.1747164063565</c:v>
                </c:pt>
                <c:pt idx="48">
                  <c:v>1.17518496871398</c:v>
                </c:pt>
                <c:pt idx="49">
                  <c:v>1.17580834615278</c:v>
                </c:pt>
                <c:pt idx="50">
                  <c:v>1.17638467519278</c:v>
                </c:pt>
                <c:pt idx="51">
                  <c:v>1.17692390200238</c:v>
                </c:pt>
                <c:pt idx="52">
                  <c:v>1.17744784958894</c:v>
                </c:pt>
                <c:pt idx="53">
                  <c:v>1.17800464604284</c:v>
                </c:pt>
                <c:pt idx="54">
                  <c:v>1.17851279461664</c:v>
                </c:pt>
                <c:pt idx="55">
                  <c:v>1.17905014354556</c:v>
                </c:pt>
                <c:pt idx="56">
                  <c:v>1.17958169724603</c:v>
                </c:pt>
                <c:pt idx="57">
                  <c:v>1.18008501587226</c:v>
                </c:pt>
                <c:pt idx="58">
                  <c:v>1.18063340681001</c:v>
                </c:pt>
                <c:pt idx="59">
                  <c:v>1.18109770297996</c:v>
                </c:pt>
                <c:pt idx="60">
                  <c:v>1.18158493148238</c:v>
                </c:pt>
                <c:pt idx="61">
                  <c:v>1.18203781336178</c:v>
                </c:pt>
                <c:pt idx="62">
                  <c:v>1.18249421440246</c:v>
                </c:pt>
                <c:pt idx="63">
                  <c:v>1.18303394938928</c:v>
                </c:pt>
                <c:pt idx="64">
                  <c:v>1.18349433105485</c:v>
                </c:pt>
                <c:pt idx="65">
                  <c:v>1.18401277340501</c:v>
                </c:pt>
                <c:pt idx="66">
                  <c:v>1.18439876391707</c:v>
                </c:pt>
                <c:pt idx="67">
                  <c:v>1.18482772412184</c:v>
                </c:pt>
                <c:pt idx="68">
                  <c:v>1.18521618793409</c:v>
                </c:pt>
                <c:pt idx="69">
                  <c:v>1.18556974025761</c:v>
                </c:pt>
                <c:pt idx="70">
                  <c:v>1.18596963688076</c:v>
                </c:pt>
                <c:pt idx="71">
                  <c:v>1.18631021189315</c:v>
                </c:pt>
                <c:pt idx="72">
                  <c:v>1.18666543302989</c:v>
                </c:pt>
                <c:pt idx="73">
                  <c:v>1.18703327499581</c:v>
                </c:pt>
                <c:pt idx="74">
                  <c:v>1.1873932451161</c:v>
                </c:pt>
                <c:pt idx="75">
                  <c:v>1.18770134264542</c:v>
                </c:pt>
                <c:pt idx="76">
                  <c:v>1.18801392527236</c:v>
                </c:pt>
                <c:pt idx="77">
                  <c:v>1.1883686654671</c:v>
                </c:pt>
                <c:pt idx="78">
                  <c:v>1.18866096677971</c:v>
                </c:pt>
                <c:pt idx="79">
                  <c:v>1.18898436572787</c:v>
                </c:pt>
                <c:pt idx="80">
                  <c:v>1.1892405222778</c:v>
                </c:pt>
                <c:pt idx="81">
                  <c:v>1.18952912861504</c:v>
                </c:pt>
                <c:pt idx="82">
                  <c:v>1.18978928830273</c:v>
                </c:pt>
                <c:pt idx="83">
                  <c:v>1.19002797836899</c:v>
                </c:pt>
                <c:pt idx="84">
                  <c:v>1.19027354005277</c:v>
                </c:pt>
                <c:pt idx="85">
                  <c:v>1.19050019862462</c:v>
                </c:pt>
                <c:pt idx="86">
                  <c:v>1.19073043882717</c:v>
                </c:pt>
                <c:pt idx="87">
                  <c:v>1.1909379304494</c:v>
                </c:pt>
                <c:pt idx="88">
                  <c:v>1.19113349856652</c:v>
                </c:pt>
                <c:pt idx="89">
                  <c:v>1.19131217151582</c:v>
                </c:pt>
                <c:pt idx="90">
                  <c:v>1.19149252405259</c:v>
                </c:pt>
                <c:pt idx="91">
                  <c:v>1.19168599036159</c:v>
                </c:pt>
                <c:pt idx="92">
                  <c:v>1.19186404217293</c:v>
                </c:pt>
                <c:pt idx="93">
                  <c:v>1.19203492973977</c:v>
                </c:pt>
                <c:pt idx="94">
                  <c:v>1.19221114439649</c:v>
                </c:pt>
                <c:pt idx="95">
                  <c:v>1.19238252004493</c:v>
                </c:pt>
                <c:pt idx="96">
                  <c:v>1.19257705643653</c:v>
                </c:pt>
                <c:pt idx="97">
                  <c:v>1.192591</c:v>
                </c:pt>
                <c:pt idx="98">
                  <c:v>1.192591</c:v>
                </c:pt>
              </c:numCache>
            </c:numRef>
          </c:yVal>
        </c:ser>
        <c:ser>
          <c:idx val="5"/>
          <c:order val="5"/>
          <c:tx>
            <c:v>TARF</c:v>
          </c:tx>
          <c:spPr>
            <a:ln w="28575">
              <a:solidFill>
                <a:srgbClr val="E87BA4"/>
              </a:solidFill>
              <a:prstDash val="solid"/>
            </a:ln>
          </c:spPr>
          <c:marker>
            <c:symbol val="none"/>
          </c:marker>
          <c:xVal>
            <c:numRef>
              <c:f>Distribution!$A$3:$A$101</c:f>
              <c:numCache>
                <c:formatCode>General</c:formatCode>
                <c:ptCount val="99"/>
                <c:pt idx="0">
                  <c:v>0.01</c:v>
                </c:pt>
                <c:pt idx="1">
                  <c:v>0.02</c:v>
                </c:pt>
                <c:pt idx="2">
                  <c:v>0.03</c:v>
                </c:pt>
                <c:pt idx="3">
                  <c:v>0.04</c:v>
                </c:pt>
                <c:pt idx="4">
                  <c:v>0.05</c:v>
                </c:pt>
                <c:pt idx="5">
                  <c:v>0.06</c:v>
                </c:pt>
                <c:pt idx="6">
                  <c:v>0.07000000000000001</c:v>
                </c:pt>
                <c:pt idx="7">
                  <c:v>0.08</c:v>
                </c:pt>
                <c:pt idx="8">
                  <c:v>0.09</c:v>
                </c:pt>
                <c:pt idx="9">
                  <c:v>0.1</c:v>
                </c:pt>
                <c:pt idx="10">
                  <c:v>0.11</c:v>
                </c:pt>
                <c:pt idx="11">
                  <c:v>0.12</c:v>
                </c:pt>
                <c:pt idx="12">
                  <c:v>0.13</c:v>
                </c:pt>
                <c:pt idx="13">
                  <c:v>0.14</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c:v>
                </c:pt>
                <c:pt idx="28">
                  <c:v>0.29</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c:v>
                </c:pt>
                <c:pt idx="55">
                  <c:v>0.5600000000000001</c:v>
                </c:pt>
                <c:pt idx="56">
                  <c:v>0.57</c:v>
                </c:pt>
                <c:pt idx="57">
                  <c:v>0.58</c:v>
                </c:pt>
                <c:pt idx="58">
                  <c:v>0.59</c:v>
                </c:pt>
                <c:pt idx="59">
                  <c:v>0.6</c:v>
                </c:pt>
                <c:pt idx="60">
                  <c:v>0.61</c:v>
                </c:pt>
                <c:pt idx="61">
                  <c:v>0.62</c:v>
                </c:pt>
                <c:pt idx="62">
                  <c:v>0.63</c:v>
                </c:pt>
                <c:pt idx="63">
                  <c:v>0.64</c:v>
                </c:pt>
                <c:pt idx="64">
                  <c:v>0.65</c:v>
                </c:pt>
                <c:pt idx="65">
                  <c:v>0.66</c:v>
                </c:pt>
                <c:pt idx="66">
                  <c:v>0.67</c:v>
                </c:pt>
                <c:pt idx="67">
                  <c:v>0.68</c:v>
                </c:pt>
                <c:pt idx="68">
                  <c:v>0.6899999999999999</c:v>
                </c:pt>
                <c:pt idx="69">
                  <c:v>0.7</c:v>
                </c:pt>
                <c:pt idx="70">
                  <c:v>0.71</c:v>
                </c:pt>
                <c:pt idx="71">
                  <c:v>0.72</c:v>
                </c:pt>
                <c:pt idx="72">
                  <c:v>0.73</c:v>
                </c:pt>
                <c:pt idx="73">
                  <c:v>0.74</c:v>
                </c:pt>
                <c:pt idx="74">
                  <c:v>0.75</c:v>
                </c:pt>
                <c:pt idx="75">
                  <c:v>0.76</c:v>
                </c:pt>
                <c:pt idx="76">
                  <c:v>0.77</c:v>
                </c:pt>
                <c:pt idx="77">
                  <c:v>0.78</c:v>
                </c:pt>
                <c:pt idx="78">
                  <c:v>0.79</c:v>
                </c:pt>
                <c:pt idx="79">
                  <c:v>0.8</c:v>
                </c:pt>
                <c:pt idx="80">
                  <c:v>0.8100000000000001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0.9399999999999999</c:v>
                </c:pt>
                <c:pt idx="94">
                  <c:v>0.95</c:v>
                </c:pt>
                <c:pt idx="95">
                  <c:v>0.96</c:v>
                </c:pt>
                <c:pt idx="96">
                  <c:v>0.97</c:v>
                </c:pt>
                <c:pt idx="97">
                  <c:v>0.98</c:v>
                </c:pt>
                <c:pt idx="98">
                  <c:v>0.99</c:v>
                </c:pt>
              </c:numCache>
            </c:numRef>
          </c:xVal>
          <c:yVal>
            <c:numRef>
              <c:f>Distribution!$G$3:$G$101</c:f>
              <c:numCache>
                <c:formatCode>General</c:formatCode>
                <c:ptCount val="99"/>
                <c:pt idx="0">
                  <c:v>1.08004131608742</c:v>
                </c:pt>
                <c:pt idx="1">
                  <c:v>1.09128793388477</c:v>
                </c:pt>
                <c:pt idx="2">
                  <c:v>1.0978114643646</c:v>
                </c:pt>
                <c:pt idx="3">
                  <c:v>1.10302475417797</c:v>
                </c:pt>
                <c:pt idx="4">
                  <c:v>1.10730960835271</c:v>
                </c:pt>
                <c:pt idx="5">
                  <c:v>1.11084314348619</c:v>
                </c:pt>
                <c:pt idx="6">
                  <c:v>1.11398728059961</c:v>
                </c:pt>
                <c:pt idx="7">
                  <c:v>1.11684786128268</c:v>
                </c:pt>
                <c:pt idx="8">
                  <c:v>1.11932932104678</c:v>
                </c:pt>
                <c:pt idx="9">
                  <c:v>1.12124690560386</c:v>
                </c:pt>
                <c:pt idx="10">
                  <c:v>1.12327459510903</c:v>
                </c:pt>
                <c:pt idx="11">
                  <c:v>1.12508590811807</c:v>
                </c:pt>
                <c:pt idx="12">
                  <c:v>1.12696453117915</c:v>
                </c:pt>
                <c:pt idx="13">
                  <c:v>1.12857807882459</c:v>
                </c:pt>
                <c:pt idx="14">
                  <c:v>1.12991386895201</c:v>
                </c:pt>
                <c:pt idx="15">
                  <c:v>1.13112805832509</c:v>
                </c:pt>
                <c:pt idx="16">
                  <c:v>1.13228891493231</c:v>
                </c:pt>
                <c:pt idx="17">
                  <c:v>1.1333940136764</c:v>
                </c:pt>
                <c:pt idx="18">
                  <c:v>1.1342938029204</c:v>
                </c:pt>
                <c:pt idx="19">
                  <c:v>1.13538944826716</c:v>
                </c:pt>
                <c:pt idx="20">
                  <c:v>1.13637124664635</c:v>
                </c:pt>
                <c:pt idx="21">
                  <c:v>1.13726930357049</c:v>
                </c:pt>
                <c:pt idx="22">
                  <c:v>1.13822162195021</c:v>
                </c:pt>
                <c:pt idx="23">
                  <c:v>1.1391952869589</c:v>
                </c:pt>
                <c:pt idx="24">
                  <c:v>1.14009202504077</c:v>
                </c:pt>
                <c:pt idx="25">
                  <c:v>1.14114489302683</c:v>
                </c:pt>
                <c:pt idx="26">
                  <c:v>1.14198038342152</c:v>
                </c:pt>
                <c:pt idx="27">
                  <c:v>1.14284614268093</c:v>
                </c:pt>
                <c:pt idx="28">
                  <c:v>1.14366429230244</c:v>
                </c:pt>
                <c:pt idx="29">
                  <c:v>1.14452093342967</c:v>
                </c:pt>
                <c:pt idx="30">
                  <c:v>1.14541151077284</c:v>
                </c:pt>
                <c:pt idx="31">
                  <c:v>1.14634267997465</c:v>
                </c:pt>
                <c:pt idx="32">
                  <c:v>1.14724293346532</c:v>
                </c:pt>
                <c:pt idx="33">
                  <c:v>1.14811520348021</c:v>
                </c:pt>
                <c:pt idx="34">
                  <c:v>1.14899630087403</c:v>
                </c:pt>
                <c:pt idx="35">
                  <c:v>1.14988625694428</c:v>
                </c:pt>
                <c:pt idx="36">
                  <c:v>1.15079642900359</c:v>
                </c:pt>
                <c:pt idx="37">
                  <c:v>1.15157235546481</c:v>
                </c:pt>
                <c:pt idx="38">
                  <c:v>1.15258933088029</c:v>
                </c:pt>
                <c:pt idx="39">
                  <c:v>1.15347187199926</c:v>
                </c:pt>
                <c:pt idx="40">
                  <c:v>1.15446317988217</c:v>
                </c:pt>
                <c:pt idx="41">
                  <c:v>1.15521355383742</c:v>
                </c:pt>
                <c:pt idx="42">
                  <c:v>1.15617660918879</c:v>
                </c:pt>
                <c:pt idx="43">
                  <c:v>1.15731306843752</c:v>
                </c:pt>
                <c:pt idx="44">
                  <c:v>1.15825127074879</c:v>
                </c:pt>
                <c:pt idx="45">
                  <c:v>1.15914354225205</c:v>
                </c:pt>
                <c:pt idx="46">
                  <c:v>1.16018233033762</c:v>
                </c:pt>
                <c:pt idx="47">
                  <c:v>1.16115679408892</c:v>
                </c:pt>
                <c:pt idx="48">
                  <c:v>1.1620676227106</c:v>
                </c:pt>
                <c:pt idx="49">
                  <c:v>1.16306114071577</c:v>
                </c:pt>
                <c:pt idx="50">
                  <c:v>1.16407208514546</c:v>
                </c:pt>
                <c:pt idx="51">
                  <c:v>1.16513516268178</c:v>
                </c:pt>
                <c:pt idx="52">
                  <c:v>1.16623354760551</c:v>
                </c:pt>
                <c:pt idx="53">
                  <c:v>1.16736703310378</c:v>
                </c:pt>
                <c:pt idx="54">
                  <c:v>1.16831021136479</c:v>
                </c:pt>
                <c:pt idx="55">
                  <c:v>1.16940656467787</c:v>
                </c:pt>
                <c:pt idx="56">
                  <c:v>1.17042355134889</c:v>
                </c:pt>
                <c:pt idx="57">
                  <c:v>1.17158469682083</c:v>
                </c:pt>
                <c:pt idx="58">
                  <c:v>1.17259090551157</c:v>
                </c:pt>
                <c:pt idx="59">
                  <c:v>1.1737456050297</c:v>
                </c:pt>
                <c:pt idx="60">
                  <c:v>1.1749166510122</c:v>
                </c:pt>
                <c:pt idx="61">
                  <c:v>1.17611346215539</c:v>
                </c:pt>
                <c:pt idx="62">
                  <c:v>1.17734171225544</c:v>
                </c:pt>
                <c:pt idx="63">
                  <c:v>1.1785958652576</c:v>
                </c:pt>
                <c:pt idx="64">
                  <c:v>1.17983386575146</c:v>
                </c:pt>
                <c:pt idx="65">
                  <c:v>1.18104366893809</c:v>
                </c:pt>
                <c:pt idx="66">
                  <c:v>1.18242615764754</c:v>
                </c:pt>
                <c:pt idx="67">
                  <c:v>1.18376035480496</c:v>
                </c:pt>
                <c:pt idx="68">
                  <c:v>1.1849228403573</c:v>
                </c:pt>
                <c:pt idx="69">
                  <c:v>1.18623297620021</c:v>
                </c:pt>
                <c:pt idx="70">
                  <c:v>1.18759675734043</c:v>
                </c:pt>
                <c:pt idx="71">
                  <c:v>1.1891128800933</c:v>
                </c:pt>
                <c:pt idx="72">
                  <c:v>1.19051839321531</c:v>
                </c:pt>
                <c:pt idx="73">
                  <c:v>1.19218549298797</c:v>
                </c:pt>
                <c:pt idx="74">
                  <c:v>1.19365278512973</c:v>
                </c:pt>
                <c:pt idx="75">
                  <c:v>1.19538058537872</c:v>
                </c:pt>
                <c:pt idx="76">
                  <c:v>1.19705389370362</c:v>
                </c:pt>
                <c:pt idx="77">
                  <c:v>1.19860060574326</c:v>
                </c:pt>
                <c:pt idx="78">
                  <c:v>1.2003585052297</c:v>
                </c:pt>
                <c:pt idx="79">
                  <c:v>1.20204991122146</c:v>
                </c:pt>
                <c:pt idx="80">
                  <c:v>1.20374879937769</c:v>
                </c:pt>
                <c:pt idx="81">
                  <c:v>1.20570609210211</c:v>
                </c:pt>
                <c:pt idx="82">
                  <c:v>1.20745332413106</c:v>
                </c:pt>
                <c:pt idx="83">
                  <c:v>1.20953150921358</c:v>
                </c:pt>
                <c:pt idx="84">
                  <c:v>1.21159993981247</c:v>
                </c:pt>
                <c:pt idx="85">
                  <c:v>1.21381166724303</c:v>
                </c:pt>
                <c:pt idx="86">
                  <c:v>1.21618374859368</c:v>
                </c:pt>
                <c:pt idx="87">
                  <c:v>1.21879041969013</c:v>
                </c:pt>
                <c:pt idx="88">
                  <c:v>1.22148195614629</c:v>
                </c:pt>
                <c:pt idx="89">
                  <c:v>1.22430025036697</c:v>
                </c:pt>
                <c:pt idx="90">
                  <c:v>1.22728804023329</c:v>
                </c:pt>
                <c:pt idx="91">
                  <c:v>1.23071268960375</c:v>
                </c:pt>
                <c:pt idx="92">
                  <c:v>1.23426862790689</c:v>
                </c:pt>
                <c:pt idx="93">
                  <c:v>1.23875538443085</c:v>
                </c:pt>
                <c:pt idx="94">
                  <c:v>1.24343712033255</c:v>
                </c:pt>
                <c:pt idx="95">
                  <c:v>1.24990953335259</c:v>
                </c:pt>
                <c:pt idx="96">
                  <c:v>1.25739889005156</c:v>
                </c:pt>
                <c:pt idx="97">
                  <c:v>1.26647708291247</c:v>
                </c:pt>
                <c:pt idx="98">
                  <c:v>1.2828389304407</c:v>
                </c:pt>
              </c:numCache>
            </c:numRef>
          </c:yVal>
        </c:ser>
        <c:axId val="50020001"/>
        <c:axId val="50020002"/>
      </c:scatterChart>
      <c:valAx>
        <c:axId val="50020001"/>
        <c:scaling>
          <c:orientation val="minMax"/>
          <c:max val="1"/>
          <c:min val="0"/>
        </c:scaling>
        <c:axPos val="b"/>
        <c:title>
          <c:tx>
            <c:rich>
              <a:bodyPr/>
              <a:lstStyle/>
              <a:p>
                <a:pPr>
                  <a:defRPr/>
                </a:pPr>
                <a:r>
                  <a:rPr lang="en-US"/>
                  <a:t>Percentile of scenarios (best to worst)</a:t>
                </a:r>
              </a:p>
            </c:rich>
          </c:tx>
          <c:layout/>
        </c:title>
        <c:numFmt formatCode="0%" sourceLinked="0"/>
        <c:tickLblPos val="nextTo"/>
        <c:crossAx val="50020002"/>
        <c:crosses val="autoZero"/>
        <c:crossBetween val="midCat"/>
      </c:valAx>
      <c:valAx>
        <c:axId val="50020002"/>
        <c:scaling>
          <c:orientation val="minMax"/>
          <c:max val="1.3"/>
          <c:min val="1.04"/>
        </c:scaling>
        <c:axPos val="l"/>
        <c:majorGridlines>
          <c:spPr>
            <a:ln>
              <a:solidFill>
                <a:srgbClr val="E6E6E6"/>
              </a:solidFill>
            </a:ln>
          </c:spPr>
        </c:majorGridlines>
        <c:title>
          <c:tx>
            <c:rich>
              <a:bodyPr rot="-5400000" vert="horz"/>
              <a:lstStyle/>
              <a:p>
                <a:pPr>
                  <a:defRPr/>
                </a:pPr>
                <a:r>
                  <a:rPr lang="en-US"/>
                  <a:t>Achieved average rate</a:t>
                </a:r>
              </a:p>
            </c:rich>
          </c:tx>
          <c:layout/>
        </c:title>
        <c:numFmt formatCode="0.00" sourceLinked="0"/>
        <c:tickLblPos val="nextTo"/>
        <c:crossAx val="50020001"/>
        <c:crosses val="autoZero"/>
        <c:crossBetween val="midCat"/>
      </c:valAx>
    </c:plotArea>
    <c:legend>
      <c:legendPos val="b"/>
      <c:layout/>
    </c:legend>
    <c:plotVisOnly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baseline="0"/>
            </a:pPr>
            <a:r>
              <a:rPr lang="en-US" sz="1200" b="1" baseline="0"/>
              <a:t>Implied volatility smile</a:t>
            </a:r>
          </a:p>
        </c:rich>
      </c:tx>
      <c:layout/>
    </c:title>
    <c:plotArea>
      <c:layout/>
      <c:scatterChart>
        <c:scatterStyle val="smoothMarker"/>
        <c:ser>
          <c:idx val="0"/>
          <c:order val="0"/>
          <c:tx>
            <c:v>1M</c:v>
          </c:tx>
          <c:spPr>
            <a:ln w="25400">
              <a:solidFill>
                <a:srgbClr val="2A78D6"/>
              </a:solidFill>
            </a:ln>
          </c:spPr>
          <c:marker>
            <c:symbol val="none"/>
          </c:marker>
          <c:xVal>
            <c:numRef>
              <c:f>Market!$K$6:$K$26</c:f>
              <c:numCache>
                <c:formatCode>General</c:formatCode>
                <c:ptCount val="21"/>
                <c:pt idx="0">
                  <c:v>-0.06</c:v>
                </c:pt>
                <c:pt idx="1">
                  <c:v>-0.054</c:v>
                </c:pt>
                <c:pt idx="2">
                  <c:v>-0.048</c:v>
                </c:pt>
                <c:pt idx="3">
                  <c:v>-0.042</c:v>
                </c:pt>
                <c:pt idx="4">
                  <c:v>-0.036</c:v>
                </c:pt>
                <c:pt idx="5">
                  <c:v>-0.03</c:v>
                </c:pt>
                <c:pt idx="6">
                  <c:v>-0.02399999999999999</c:v>
                </c:pt>
                <c:pt idx="7">
                  <c:v>-0.018</c:v>
                </c:pt>
                <c:pt idx="8">
                  <c:v>-0.012</c:v>
                </c:pt>
                <c:pt idx="9">
                  <c:v>-0.005999999999999998</c:v>
                </c:pt>
                <c:pt idx="10">
                  <c:v>0</c:v>
                </c:pt>
                <c:pt idx="11">
                  <c:v>0.006000000000000005</c:v>
                </c:pt>
                <c:pt idx="12">
                  <c:v>0.01200000000000001</c:v>
                </c:pt>
                <c:pt idx="13">
                  <c:v>0.018</c:v>
                </c:pt>
                <c:pt idx="14">
                  <c:v>0.02400000000000001</c:v>
                </c:pt>
                <c:pt idx="15">
                  <c:v>0.03</c:v>
                </c:pt>
                <c:pt idx="16">
                  <c:v>0.036</c:v>
                </c:pt>
                <c:pt idx="17">
                  <c:v>0.04200000000000001</c:v>
                </c:pt>
                <c:pt idx="18">
                  <c:v>0.048</c:v>
                </c:pt>
                <c:pt idx="19">
                  <c:v>0.05400000000000001</c:v>
                </c:pt>
                <c:pt idx="20">
                  <c:v>0.06</c:v>
                </c:pt>
              </c:numCache>
            </c:numRef>
          </c:xVal>
          <c:yVal>
            <c:numRef>
              <c:f>Market!$L$6:$L$26</c:f>
              <c:numCache>
                <c:formatCode>General</c:formatCode>
                <c:ptCount val="21"/>
                <c:pt idx="0">
                  <c:v>7.424096</c:v>
                </c:pt>
                <c:pt idx="1">
                  <c:v>7.424096</c:v>
                </c:pt>
                <c:pt idx="2">
                  <c:v>7.424096</c:v>
                </c:pt>
                <c:pt idx="3">
                  <c:v>7.42057173455106</c:v>
                </c:pt>
                <c:pt idx="4">
                  <c:v>7.38697811753911</c:v>
                </c:pt>
                <c:pt idx="5">
                  <c:v>7.3365599342</c:v>
                </c:pt>
                <c:pt idx="6">
                  <c:v>7.26965279720542</c:v>
                </c:pt>
                <c:pt idx="7">
                  <c:v>7.19320536554343</c:v>
                </c:pt>
                <c:pt idx="8">
                  <c:v>7.12332216976374</c:v>
                </c:pt>
                <c:pt idx="9">
                  <c:v>7.08420505210133</c:v>
                </c:pt>
                <c:pt idx="10">
                  <c:v>7.09840248009846</c:v>
                </c:pt>
                <c:pt idx="11">
                  <c:v>7.17086862866033</c:v>
                </c:pt>
                <c:pt idx="12">
                  <c:v>7.28433248299227</c:v>
                </c:pt>
                <c:pt idx="13">
                  <c:v>7.41250735792694</c:v>
                </c:pt>
                <c:pt idx="14">
                  <c:v>7.53398344922038</c:v>
                </c:pt>
                <c:pt idx="15">
                  <c:v>7.63655267734736</c:v>
                </c:pt>
                <c:pt idx="16">
                  <c:v>7.71577268466173</c:v>
                </c:pt>
                <c:pt idx="17">
                  <c:v>7.77235028290619</c:v>
                </c:pt>
                <c:pt idx="18">
                  <c:v>7.808096</c:v>
                </c:pt>
                <c:pt idx="19">
                  <c:v>7.808096</c:v>
                </c:pt>
                <c:pt idx="20">
                  <c:v>7.808096</c:v>
                </c:pt>
              </c:numCache>
            </c:numRef>
          </c:yVal>
          <c:smooth val="1"/>
        </c:ser>
        <c:ser>
          <c:idx val="1"/>
          <c:order val="1"/>
          <c:tx>
            <c:v>6M</c:v>
          </c:tx>
          <c:spPr>
            <a:ln w="25400">
              <a:solidFill>
                <a:srgbClr val="EB6834"/>
              </a:solidFill>
            </a:ln>
          </c:spPr>
          <c:marker>
            <c:symbol val="none"/>
          </c:marker>
          <c:xVal>
            <c:numRef>
              <c:f>Market!$K$6:$K$26</c:f>
              <c:numCache>
                <c:formatCode>General</c:formatCode>
                <c:ptCount val="21"/>
                <c:pt idx="0">
                  <c:v>-0.06</c:v>
                </c:pt>
                <c:pt idx="1">
                  <c:v>-0.054</c:v>
                </c:pt>
                <c:pt idx="2">
                  <c:v>-0.048</c:v>
                </c:pt>
                <c:pt idx="3">
                  <c:v>-0.042</c:v>
                </c:pt>
                <c:pt idx="4">
                  <c:v>-0.036</c:v>
                </c:pt>
                <c:pt idx="5">
                  <c:v>-0.03</c:v>
                </c:pt>
                <c:pt idx="6">
                  <c:v>-0.02399999999999999</c:v>
                </c:pt>
                <c:pt idx="7">
                  <c:v>-0.018</c:v>
                </c:pt>
                <c:pt idx="8">
                  <c:v>-0.012</c:v>
                </c:pt>
                <c:pt idx="9">
                  <c:v>-0.005999999999999998</c:v>
                </c:pt>
                <c:pt idx="10">
                  <c:v>0</c:v>
                </c:pt>
                <c:pt idx="11">
                  <c:v>0.006000000000000005</c:v>
                </c:pt>
                <c:pt idx="12">
                  <c:v>0.01200000000000001</c:v>
                </c:pt>
                <c:pt idx="13">
                  <c:v>0.018</c:v>
                </c:pt>
                <c:pt idx="14">
                  <c:v>0.02400000000000001</c:v>
                </c:pt>
                <c:pt idx="15">
                  <c:v>0.03</c:v>
                </c:pt>
                <c:pt idx="16">
                  <c:v>0.036</c:v>
                </c:pt>
                <c:pt idx="17">
                  <c:v>0.04200000000000001</c:v>
                </c:pt>
                <c:pt idx="18">
                  <c:v>0.048</c:v>
                </c:pt>
                <c:pt idx="19">
                  <c:v>0.05400000000000001</c:v>
                </c:pt>
                <c:pt idx="20">
                  <c:v>0.06</c:v>
                </c:pt>
              </c:numCache>
            </c:numRef>
          </c:xVal>
          <c:yVal>
            <c:numRef>
              <c:f>Market!$M$6:$M$26</c:f>
              <c:numCache>
                <c:formatCode>General</c:formatCode>
                <c:ptCount val="21"/>
                <c:pt idx="0">
                  <c:v>7.86878414889627</c:v>
                </c:pt>
                <c:pt idx="1">
                  <c:v>7.82941568925015</c:v>
                </c:pt>
                <c:pt idx="2">
                  <c:v>7.78990751080647</c:v>
                </c:pt>
                <c:pt idx="3">
                  <c:v>7.75182742408518</c:v>
                </c:pt>
                <c:pt idx="4">
                  <c:v>7.7170505221933</c:v>
                </c:pt>
                <c:pt idx="5">
                  <c:v>7.68769505121874</c:v>
                </c:pt>
                <c:pt idx="6">
                  <c:v>7.66599286632543</c:v>
                </c:pt>
                <c:pt idx="7">
                  <c:v>7.65408595379261</c:v>
                </c:pt>
                <c:pt idx="8">
                  <c:v>7.65376437384031</c:v>
                </c:pt>
                <c:pt idx="9">
                  <c:v>7.66619502778407</c:v>
                </c:pt>
                <c:pt idx="10">
                  <c:v>7.69171727090699</c:v>
                </c:pt>
                <c:pt idx="11">
                  <c:v>7.72977645984396</c:v>
                </c:pt>
                <c:pt idx="12">
                  <c:v>7.77902167957769</c:v>
                </c:pt>
                <c:pt idx="13">
                  <c:v>7.83753202920595</c:v>
                </c:pt>
                <c:pt idx="14">
                  <c:v>7.9030953196571</c:v>
                </c:pt>
                <c:pt idx="15">
                  <c:v>7.97346376525574</c:v>
                </c:pt>
                <c:pt idx="16">
                  <c:v>8.04654168480632</c:v>
                </c:pt>
                <c:pt idx="17">
                  <c:v>8.12049523296616</c:v>
                </c:pt>
                <c:pt idx="18">
                  <c:v>8.19379699290179</c:v>
                </c:pt>
                <c:pt idx="19">
                  <c:v>8.26522629228165</c:v>
                </c:pt>
                <c:pt idx="20">
                  <c:v>8.33384456208499</c:v>
                </c:pt>
              </c:numCache>
            </c:numRef>
          </c:yVal>
          <c:smooth val="1"/>
        </c:ser>
        <c:ser>
          <c:idx val="2"/>
          <c:order val="2"/>
          <c:tx>
            <c:v>1Y</c:v>
          </c:tx>
          <c:spPr>
            <a:ln w="25400">
              <a:solidFill>
                <a:srgbClr val="1BAF7A"/>
              </a:solidFill>
            </a:ln>
          </c:spPr>
          <c:marker>
            <c:symbol val="none"/>
          </c:marker>
          <c:xVal>
            <c:numRef>
              <c:f>Market!$K$6:$K$26</c:f>
              <c:numCache>
                <c:formatCode>General</c:formatCode>
                <c:ptCount val="21"/>
                <c:pt idx="0">
                  <c:v>-0.06</c:v>
                </c:pt>
                <c:pt idx="1">
                  <c:v>-0.054</c:v>
                </c:pt>
                <c:pt idx="2">
                  <c:v>-0.048</c:v>
                </c:pt>
                <c:pt idx="3">
                  <c:v>-0.042</c:v>
                </c:pt>
                <c:pt idx="4">
                  <c:v>-0.036</c:v>
                </c:pt>
                <c:pt idx="5">
                  <c:v>-0.03</c:v>
                </c:pt>
                <c:pt idx="6">
                  <c:v>-0.02399999999999999</c:v>
                </c:pt>
                <c:pt idx="7">
                  <c:v>-0.018</c:v>
                </c:pt>
                <c:pt idx="8">
                  <c:v>-0.012</c:v>
                </c:pt>
                <c:pt idx="9">
                  <c:v>-0.005999999999999998</c:v>
                </c:pt>
                <c:pt idx="10">
                  <c:v>0</c:v>
                </c:pt>
                <c:pt idx="11">
                  <c:v>0.006000000000000005</c:v>
                </c:pt>
                <c:pt idx="12">
                  <c:v>0.01200000000000001</c:v>
                </c:pt>
                <c:pt idx="13">
                  <c:v>0.018</c:v>
                </c:pt>
                <c:pt idx="14">
                  <c:v>0.02400000000000001</c:v>
                </c:pt>
                <c:pt idx="15">
                  <c:v>0.03</c:v>
                </c:pt>
                <c:pt idx="16">
                  <c:v>0.036</c:v>
                </c:pt>
                <c:pt idx="17">
                  <c:v>0.04200000000000001</c:v>
                </c:pt>
                <c:pt idx="18">
                  <c:v>0.048</c:v>
                </c:pt>
                <c:pt idx="19">
                  <c:v>0.05400000000000001</c:v>
                </c:pt>
                <c:pt idx="20">
                  <c:v>0.06</c:v>
                </c:pt>
              </c:numCache>
            </c:numRef>
          </c:xVal>
          <c:yVal>
            <c:numRef>
              <c:f>Market!$N$6:$N$26</c:f>
              <c:numCache>
                <c:formatCode>General</c:formatCode>
                <c:ptCount val="21"/>
                <c:pt idx="0">
                  <c:v>8.09577291742646</c:v>
                </c:pt>
                <c:pt idx="1">
                  <c:v>8.06794824644412</c:v>
                </c:pt>
                <c:pt idx="2">
                  <c:v>8.04294887701171</c:v>
                </c:pt>
                <c:pt idx="3">
                  <c:v>8.02161889590345</c:v>
                </c:pt>
                <c:pt idx="4">
                  <c:v>8.00480547749194</c:v>
                </c:pt>
                <c:pt idx="5">
                  <c:v>7.99331607657499</c:v>
                </c:pt>
                <c:pt idx="6">
                  <c:v>7.98786857150749</c:v>
                </c:pt>
                <c:pt idx="7">
                  <c:v>7.98903925258274</c:v>
                </c:pt>
                <c:pt idx="8">
                  <c:v>7.99721564886366</c:v>
                </c:pt>
                <c:pt idx="9">
                  <c:v>8.01256198075037</c:v>
                </c:pt>
                <c:pt idx="10">
                  <c:v>8.03500376896011</c:v>
                </c:pt>
                <c:pt idx="11">
                  <c:v>8.0642348137933</c:v>
                </c:pt>
                <c:pt idx="12">
                  <c:v>8.09974530626339</c:v>
                </c:pt>
                <c:pt idx="13">
                  <c:v>8.1408657569896</c:v>
                </c:pt>
                <c:pt idx="14">
                  <c:v>8.18681905903968</c:v>
                </c:pt>
                <c:pt idx="15">
                  <c:v>8.23677285441171</c:v>
                </c:pt>
                <c:pt idx="16">
                  <c:v>8.28988603902338</c:v>
                </c:pt>
                <c:pt idx="17">
                  <c:v>8.34534577005879</c:v>
                </c:pt>
                <c:pt idx="18">
                  <c:v>8.40239380293133</c:v>
                </c:pt>
                <c:pt idx="19">
                  <c:v>8.46034282120552</c:v>
                </c:pt>
                <c:pt idx="20">
                  <c:v>8.51858445732272</c:v>
                </c:pt>
              </c:numCache>
            </c:numRef>
          </c:yVal>
          <c:smooth val="1"/>
        </c:ser>
        <c:axId val="50030001"/>
        <c:axId val="50030002"/>
      </c:scatterChart>
      <c:valAx>
        <c:axId val="50030001"/>
        <c:scaling>
          <c:orientation val="minMax"/>
          <c:max val="0.06"/>
          <c:min val="-0.06"/>
        </c:scaling>
        <c:axPos val="b"/>
        <c:title>
          <c:tx>
            <c:rich>
              <a:bodyPr/>
              <a:lstStyle/>
              <a:p>
                <a:pPr>
                  <a:defRPr/>
                </a:pPr>
                <a:r>
                  <a:rPr lang="en-US"/>
                  <a:t>strike / forward - 1</a:t>
                </a:r>
              </a:p>
            </c:rich>
          </c:tx>
          <c:layout/>
        </c:title>
        <c:numFmt formatCode="0%" sourceLinked="0"/>
        <c:tickLblPos val="nextTo"/>
        <c:crossAx val="50030002"/>
        <c:crosses val="autoZero"/>
        <c:crossBetween val="midCat"/>
      </c:valAx>
      <c:valAx>
        <c:axId val="50030002"/>
        <c:scaling>
          <c:orientation val="minMax"/>
          <c:max val="10"/>
          <c:min val="6"/>
        </c:scaling>
        <c:axPos val="l"/>
        <c:majorGridlines/>
        <c:title>
          <c:tx>
            <c:rich>
              <a:bodyPr rot="-5400000" vert="horz"/>
              <a:lstStyle/>
              <a:p>
                <a:pPr>
                  <a:defRPr/>
                </a:pPr>
                <a:r>
                  <a:rPr lang="en-US"/>
                  <a:t>implied vol (%)</a:t>
                </a:r>
              </a:p>
            </c:rich>
          </c:tx>
          <c:layout/>
        </c:title>
        <c:numFmt formatCode="0.0" sourceLinked="0"/>
        <c:tickLblPos val="nextTo"/>
        <c:crossAx val="50030001"/>
        <c:crosses val="autoZero"/>
        <c:crossBetween val="midCat"/>
      </c:valAx>
    </c:plotArea>
    <c:legend>
      <c:legendPos val="b"/>
      <c:layout/>
    </c:legend>
    <c:plotVisOnly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0</xdr:colOff>
      <xdr:row>27</xdr:row>
      <xdr:rowOff>0</xdr:rowOff>
    </xdr:from>
    <xdr:to>
      <xdr:col>11</xdr:col>
      <xdr:colOff>771525</xdr:colOff>
      <xdr:row>48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0</xdr:colOff>
      <xdr:row>1</xdr:row>
      <xdr:rowOff>0</xdr:rowOff>
    </xdr:from>
    <xdr:to>
      <xdr:col>21</xdr:col>
      <xdr:colOff>457200</xdr:colOff>
      <xdr:row>24</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22</xdr:row>
      <xdr:rowOff>0</xdr:rowOff>
    </xdr:from>
    <xdr:to>
      <xdr:col>7</xdr:col>
      <xdr:colOff>171450</xdr:colOff>
      <xdr:row>39</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sheetPr codeName="Sheet1">
    <pageSetUpPr fitToPage="1"/>
  </sheetPr>
  <dimension ref="B2:N28"/>
  <sheetViews>
    <sheetView showGridLines="0" tabSelected="1" workbookViewId="0"/>
  </sheetViews>
  <sheetFormatPr defaultRowHeight="15"/>
  <cols>
    <col min="1" max="1" width="2.7109375" customWidth="1"/>
    <col min="2" max="2" width="36.7109375" customWidth="1"/>
    <col min="3" max="3" width="25.7109375" customWidth="1"/>
    <col min="4" max="4" width="3.7109375" customWidth="1"/>
    <col min="5" max="5" width="34.7109375" customWidth="1"/>
    <col min="6" max="14" width="13.7109375" customWidth="1"/>
  </cols>
  <sheetData>
    <row r="2" spans="2:14">
      <c r="B2" s="1" t="s">
        <v>0</v>
      </c>
    </row>
    <row r="3" spans="2:14">
      <c r="B3" s="2" t="s">
        <v>1</v>
      </c>
    </row>
    <row r="5" spans="2:14">
      <c r="B5" s="3" t="s">
        <v>2</v>
      </c>
      <c r="C5" s="3"/>
    </row>
    <row r="6" spans="2:14">
      <c r="B6" s="4" t="s">
        <v>3</v>
      </c>
      <c r="C6" s="5" t="s">
        <v>4</v>
      </c>
    </row>
    <row r="7" spans="2:14">
      <c r="B7" s="4" t="s">
        <v>5</v>
      </c>
      <c r="C7" s="6">
        <v>1000000</v>
      </c>
    </row>
    <row r="8" spans="2:14">
      <c r="B8" s="4" t="s">
        <v>6</v>
      </c>
      <c r="C8" s="6">
        <v>12</v>
      </c>
      <c r="E8" s="2" t="str">
        <f>IF(Phi=1,"Exporter: a LOWER achieved rate is better (more EUR for each USD). Risk: EURUSD rises.","Importer: a HIGHER achieved rate is better (fewer EUR for each USD). Risk: EURUSD falls.")</f>
        <v>Exporter: a LOWER achieved rate is better (more EUR for each USD). Risk: EURUSD rises.</v>
      </c>
      <c r="F8" s="2"/>
      <c r="G8" s="2"/>
      <c r="H8" s="2"/>
      <c r="I8" s="2"/>
      <c r="J8" s="2"/>
      <c r="K8" s="2"/>
      <c r="L8" s="2"/>
      <c r="M8" s="2"/>
      <c r="N8" s="2"/>
    </row>
    <row r="9" spans="2:14">
      <c r="B9" s="4" t="s">
        <v>7</v>
      </c>
      <c r="C9" s="7">
        <v>1.18</v>
      </c>
    </row>
    <row r="10" spans="2:14">
      <c r="E10" s="2" t="s">
        <v>26</v>
      </c>
      <c r="F10" s="2"/>
      <c r="G10" s="2"/>
      <c r="H10" s="2"/>
      <c r="I10" s="2"/>
      <c r="J10" s="2"/>
      <c r="K10" s="2"/>
      <c r="L10" s="2"/>
      <c r="M10" s="2"/>
      <c r="N10" s="2"/>
    </row>
    <row r="11" spans="2:14">
      <c r="B11" s="3" t="s">
        <v>8</v>
      </c>
      <c r="C11" s="3"/>
    </row>
    <row r="12" spans="2:14" ht="30" customHeight="1">
      <c r="B12" s="4" t="s">
        <v>9</v>
      </c>
      <c r="C12" s="7">
        <v>1.165</v>
      </c>
      <c r="E12" s="8" t="s">
        <v>27</v>
      </c>
      <c r="F12" s="8" t="s">
        <v>28</v>
      </c>
      <c r="G12" s="8" t="s">
        <v>29</v>
      </c>
      <c r="H12" s="8" t="s">
        <v>30</v>
      </c>
      <c r="I12" s="8" t="s">
        <v>31</v>
      </c>
      <c r="J12" s="9" t="s">
        <v>32</v>
      </c>
      <c r="K12" s="9" t="s">
        <v>33</v>
      </c>
      <c r="L12" s="9" t="s">
        <v>34</v>
      </c>
      <c r="M12" s="9" t="s">
        <v>35</v>
      </c>
      <c r="N12" s="9" t="s">
        <v>36</v>
      </c>
    </row>
    <row r="13" spans="2:14">
      <c r="B13" s="4" t="s">
        <v>10</v>
      </c>
      <c r="C13" s="10">
        <v>0</v>
      </c>
      <c r="E13" s="11" t="s">
        <v>37</v>
      </c>
      <c r="F13" s="12"/>
      <c r="G13" s="12"/>
      <c r="H13" s="13">
        <f>0</f>
        <v>0</v>
      </c>
      <c r="I13" s="13">
        <f>0</f>
        <v>0</v>
      </c>
      <c r="J13" s="14">
        <v>1.16370873658419</v>
      </c>
      <c r="K13" s="14">
        <v>1.25486234844108</v>
      </c>
      <c r="L13" s="14">
        <v>1.07561397711463</v>
      </c>
      <c r="M13" s="15">
        <v>0.3784</v>
      </c>
      <c r="N13" s="15">
        <v>0</v>
      </c>
    </row>
    <row r="14" spans="2:14">
      <c r="B14" s="4" t="s">
        <v>11</v>
      </c>
      <c r="C14" s="16">
        <f>FX_AVGFWD(NMonths)</f>
        <v>1.1742526587722</v>
      </c>
      <c r="E14" s="11" t="s">
        <v>38</v>
      </c>
      <c r="F14" s="16">
        <f>SUMPRODUCT(Schedule!$B$3:$B$26,Schedule!$J$3:$J$26)/NMonths</f>
        <v>1.1742526587722</v>
      </c>
      <c r="G14" s="12"/>
      <c r="H14" s="13">
        <f>Schedule!K28</f>
        <v>0</v>
      </c>
      <c r="I14" s="13">
        <f>0</f>
        <v>0</v>
      </c>
      <c r="J14" s="14">
        <v>1.17423756497111</v>
      </c>
      <c r="K14" s="14">
        <v>1.17423756497129</v>
      </c>
      <c r="L14" s="14">
        <v>1.17423756497129</v>
      </c>
      <c r="M14" s="15">
        <v>0</v>
      </c>
      <c r="N14" s="15">
        <v>0</v>
      </c>
    </row>
    <row r="15" spans="2:14">
      <c r="B15" s="4" t="s">
        <v>12</v>
      </c>
      <c r="C15" s="13">
        <f>(AvgFwd-Spot)*10000</f>
        <v>92.5265877219617</v>
      </c>
      <c r="E15" s="11" t="s">
        <v>39</v>
      </c>
      <c r="F15" s="16">
        <f>Protect</f>
        <v>1.18</v>
      </c>
      <c r="G15" s="12"/>
      <c r="H15" s="13">
        <f>Schedule!P28</f>
        <v>197550.658359021</v>
      </c>
      <c r="I15" s="13">
        <f>Schedule!P28</f>
        <v>197550.658359021</v>
      </c>
      <c r="J15" s="14">
        <v>1.16780415214257</v>
      </c>
      <c r="K15" s="14">
        <v>1.2036369464822</v>
      </c>
      <c r="L15" s="14">
        <v>1.09507385251608</v>
      </c>
      <c r="M15" s="15">
        <v>0.4943</v>
      </c>
      <c r="N15" s="15">
        <v>0</v>
      </c>
    </row>
    <row r="16" spans="2:14">
      <c r="E16" s="11" t="s">
        <v>40</v>
      </c>
      <c r="F16" s="16">
        <f>Protect</f>
        <v>1.18</v>
      </c>
      <c r="G16" s="7">
        <v>1.168888</v>
      </c>
      <c r="H16" s="13">
        <f>Schedule!P28-Schedule!U28</f>
        <v>-0.177898396272212</v>
      </c>
      <c r="I16" s="13">
        <f>0</f>
        <v>0</v>
      </c>
      <c r="J16" s="14">
        <v>1.17356298401054</v>
      </c>
      <c r="K16" s="14">
        <v>1.18</v>
      </c>
      <c r="L16" s="14">
        <v>1.168888</v>
      </c>
      <c r="M16" s="15">
        <v>0</v>
      </c>
      <c r="N16" s="15">
        <v>0</v>
      </c>
    </row>
    <row r="17" spans="2:14">
      <c r="B17" s="3" t="s">
        <v>13</v>
      </c>
      <c r="C17" s="3"/>
      <c r="E17" s="11" t="s">
        <v>41</v>
      </c>
      <c r="F17" s="7">
        <v>1.192591</v>
      </c>
      <c r="G17" s="17">
        <f>Participation</f>
        <v>0.5</v>
      </c>
      <c r="H17" s="13">
        <f>Schedule!AA28</f>
        <v>2.47246735328099</v>
      </c>
      <c r="I17" s="13">
        <f>0</f>
        <v>0</v>
      </c>
      <c r="J17" s="14">
        <v>1.17045984129335</v>
      </c>
      <c r="K17" s="14">
        <v>1.19221114439649</v>
      </c>
      <c r="L17" s="14">
        <v>1.13106685303514</v>
      </c>
      <c r="M17" s="15">
        <v>0.4213</v>
      </c>
      <c r="N17" s="15">
        <v>0</v>
      </c>
    </row>
    <row r="18" spans="2:14">
      <c r="B18" s="4" t="s">
        <v>14</v>
      </c>
      <c r="C18" s="7">
        <v>1.18</v>
      </c>
      <c r="E18" s="11" t="s">
        <v>42</v>
      </c>
      <c r="F18" s="7">
        <v>1.124497</v>
      </c>
      <c r="G18" s="13">
        <f>TarfTarget</f>
        <v>1000</v>
      </c>
      <c r="H18" s="18">
        <v>1.27159452878817</v>
      </c>
      <c r="I18" s="13">
        <f>0</f>
        <v>0</v>
      </c>
      <c r="J18" s="14">
        <v>1.1683898356682</v>
      </c>
      <c r="K18" s="14">
        <v>1.24343712033255</v>
      </c>
      <c r="L18" s="14">
        <v>1.10730960835271</v>
      </c>
      <c r="M18" s="15">
        <v>0.34795</v>
      </c>
      <c r="N18" s="15">
        <v>0.2905</v>
      </c>
    </row>
    <row r="19" spans="2:14">
      <c r="B19" s="4" t="s">
        <v>15</v>
      </c>
      <c r="C19" s="19">
        <v>0.5</v>
      </c>
      <c r="E19" s="2" t="s">
        <v>43</v>
      </c>
    </row>
    <row r="20" spans="2:14">
      <c r="B20" s="4" t="s">
        <v>16</v>
      </c>
      <c r="C20" s="6">
        <v>1000</v>
      </c>
      <c r="E20" s="2" t="s">
        <v>44</v>
      </c>
    </row>
    <row r="21" spans="2:14">
      <c r="B21" s="4" t="s">
        <v>17</v>
      </c>
      <c r="C21" s="10">
        <v>2</v>
      </c>
    </row>
    <row r="22" spans="2:14">
      <c r="B22" s="4" t="s">
        <v>18</v>
      </c>
      <c r="C22" s="5" t="s">
        <v>19</v>
      </c>
      <c r="E22" s="3" t="s">
        <v>45</v>
      </c>
      <c r="F22" s="3"/>
    </row>
    <row r="23" spans="2:14">
      <c r="B23" s="4" t="s">
        <v>20</v>
      </c>
      <c r="C23" s="6">
        <v>0</v>
      </c>
      <c r="E23" s="4" t="s">
        <v>46</v>
      </c>
      <c r="F23" s="15">
        <v>0.84495</v>
      </c>
    </row>
    <row r="24" spans="2:14">
      <c r="E24" s="4" t="s">
        <v>47</v>
      </c>
      <c r="F24" s="20">
        <v>4.8034</v>
      </c>
    </row>
    <row r="25" spans="2:14">
      <c r="B25" s="3" t="s">
        <v>21</v>
      </c>
      <c r="C25" s="3"/>
      <c r="E25" s="4" t="s">
        <v>48</v>
      </c>
      <c r="F25" s="15">
        <v>0.2905</v>
      </c>
    </row>
    <row r="26" spans="2:14">
      <c r="B26" s="4" t="s">
        <v>22</v>
      </c>
      <c r="C26" s="6">
        <v>20000</v>
      </c>
      <c r="E26" s="4" t="s">
        <v>49</v>
      </c>
      <c r="F26" s="20">
        <v>1.8152</v>
      </c>
    </row>
    <row r="27" spans="2:14">
      <c r="B27" s="4" t="s">
        <v>23</v>
      </c>
      <c r="C27" s="6">
        <v>42</v>
      </c>
    </row>
    <row r="28" spans="2:14">
      <c r="B28" s="4" t="s">
        <v>24</v>
      </c>
      <c r="C28" s="5" t="s">
        <v>25</v>
      </c>
    </row>
  </sheetData>
  <mergeCells count="7">
    <mergeCell ref="B5:C5"/>
    <mergeCell ref="B11:C11"/>
    <mergeCell ref="B17:C17"/>
    <mergeCell ref="B25:C25"/>
    <mergeCell ref="E8:N8"/>
    <mergeCell ref="E10:N10"/>
    <mergeCell ref="E22:F22"/>
  </mergeCells>
  <dataValidations count="5">
    <dataValidation type="list" allowBlank="1" showInputMessage="1" showErrorMessage="1" sqref="C6">
      <formula1>"Exporter (receives USD),Importer (pays USD)"</formula1>
    </dataValidation>
    <dataValidation type="whole" allowBlank="1" showInputMessage="1" showErrorMessage="1" sqref="C8">
      <formula1>1</formula1>
      <formula2>24</formula2>
    </dataValidation>
    <dataValidation type="list" allowBlank="1" showInputMessage="1" showErrorMessage="1" sqref="C21">
      <formula1>"1,1.5,2"</formula1>
    </dataValidation>
    <dataValidation type="list" allowBlank="1" showInputMessage="1" showErrorMessage="1" sqref="C22">
      <formula1>"full,exact"</formula1>
    </dataValidation>
    <dataValidation type="list" allowBlank="1" showInputMessage="1" showErrorMessage="1" sqref="C28">
      <formula1>"Spot unchanged (desk view),Forward (risk-neutral)"</formula1>
    </dataValidation>
  </dataValidations>
  <pageMargins left="0.4" right="0.4" top="0.5" bottom="0.5" header="0.3" footer="0.3"/>
  <pageSetup paperSize="9" orientation="landscape"/>
  <drawing r:id="rId1"/>
  <legacyDrawing r:id="rId2"/>
</worksheet>
</file>

<file path=xl/worksheets/sheet2.xml><?xml version="1.0" encoding="utf-8"?>
<worksheet xmlns="http://schemas.openxmlformats.org/spreadsheetml/2006/main" xmlns:r="http://schemas.openxmlformats.org/officeDocument/2006/relationships">
  <sheetPr codeName="Sheet2">
    <pageSetUpPr fitToPage="1"/>
  </sheetPr>
  <dimension ref="B2:B23"/>
  <sheetViews>
    <sheetView showGridLines="0" workbookViewId="0"/>
  </sheetViews>
  <sheetFormatPr defaultRowHeight="15"/>
  <cols>
    <col min="1" max="1" width="2.7109375" customWidth="1"/>
    <col min="2" max="2" width="110.7109375" customWidth="1"/>
  </cols>
  <sheetData>
    <row r="2" spans="2:2">
      <c r="B2" s="1" t="s">
        <v>96</v>
      </c>
    </row>
    <row r="3" spans="2:2">
      <c r="B3" s="2" t="s">
        <v>97</v>
      </c>
    </row>
    <row r="6" spans="2:2">
      <c r="B6" s="21" t="s">
        <v>98</v>
      </c>
    </row>
    <row r="7" spans="2:2" ht="34" customHeight="1">
      <c r="B7" s="22" t="str">
        <f>"You "&amp;IF(Phi=1,"receive","pay")&amp;" USD "&amp;TEXT(Notional,"#,##0")&amp;" every month for "&amp;NMonths&amp;" months, i.e. USD "&amp;TEXT(TotalN/1000000,"0.0")&amp;"m. Your budget rate is "&amp;TEXT(Budget,"0.0000")&amp;". EURUSD is "&amp;TEXT(Spot,"0.0000")&amp;" and the average forward over your flows is "&amp;TEXT(AvgFwd,"0.0000")&amp;"."</f>
        <v>You receive USD 1,000,000 every month for 12 months, i.e. USD 12.0m. Your budget rate is 1.1800. EURUSD is 1.1650 and the average forward over your flows is 1.1743.</v>
      </c>
    </row>
    <row r="8" spans="2:2" ht="34" customHeight="1">
      <c r="B8" s="22" t="str">
        <f>"Without a hedge, our simulations give a "&amp;TEXT(Pricer!M13,"0%")&amp;" chance of missing your budget. In the worst 5% of scenarios your average rate would be "&amp;TEXT(Pricer!K13,"0.0000")&amp;"."</f>
        <v>Without a hedge, our simulations give a 38% chance of missing your budget. In the worst 5% of scenarios your average rate would be 1.2549.</v>
      </c>
    </row>
    <row r="10" spans="2:2">
      <c r="B10" s="21" t="s">
        <v>99</v>
      </c>
    </row>
    <row r="11" spans="2:2" ht="34" customHeight="1">
      <c r="B11" s="22" t="str">
        <f>"1. Forward strip: your rate is locked today at "&amp;TEXT(Pricer!F14,"0.0000")&amp;", with no premium and no upside."</f>
        <v>1. Forward strip: your rate is locked today at 1.1743, with no premium and no upside.</v>
      </c>
    </row>
    <row r="12" spans="2:2" ht="34" customHeight="1">
      <c r="B12" s="22" t="str">
        <f>"2. Zero-cost collar "&amp;TEXT(Pricer!F16,"0.0000")&amp;" / "&amp;TEXT(Pricer!G16,"0.0000")&amp;": your worst case is "&amp;TEXT(Pricer!F16,"0.0000")&amp;" and you keep the benefit of a favourable move up to "&amp;TEXT(Pricer!G16,"0.0000")&amp;". No premium."</f>
        <v>2. Zero-cost collar 1.1800 / 1.1689: your worst case is 1.1800 and you keep the benefit of a favourable move up to 1.1689. No premium.</v>
      </c>
    </row>
    <row r="13" spans="2:2" ht="34" customHeight="1">
      <c r="B13" s="22" t="str">
        <f>"3. Vanilla option at "&amp;TEXT(Pricer!F15,"0.0000")&amp;": full upside, for a premium of EUR "&amp;TEXT(Pricer!I15,"#,##0")&amp;" paid today."</f>
        <v>3. Vanilla option at 1.1800: full upside, for a premium of EUR 197,551 paid today.</v>
      </c>
    </row>
    <row r="14" spans="2:2" ht="34" customHeight="1">
      <c r="B14" s="22" t="str">
        <f>"4. Participating forward at "&amp;TEXT(Pricer!F17,"0.0000")&amp;": full protection at that rate, and you keep "&amp;TEXT(Pricer!G17,"0%")&amp;" of any favourable move. No premium."</f>
        <v>4. Participating forward at 1.1926: full protection at that rate, and you keep 50% of any favourable move. No premium.</v>
      </c>
    </row>
    <row r="16" spans="2:2">
      <c r="B16" s="21" t="s">
        <v>100</v>
      </c>
    </row>
    <row r="17" spans="2:2" ht="34" customHeight="1">
      <c r="B17" s="22" t="str">
        <f>"TARF: strike "&amp;TEXT(Pricer!F18,"0.0000")&amp;", "&amp;TEXT(ABS(Pricer!F18-AvgFwd)*10000,"0")&amp;" pips better than the forward. It stops once you have accumulated "&amp;TEXT(TarfTarget,"#,##0")&amp;" pips of gains (probability "&amp;TEXT(Pricer!F23,"0%")&amp;"). On an unfavourable fixing you must convert "&amp;Leverage&amp;"x your flows, which happens at least once in "&amp;TEXT(Pricer!F25,"0%")&amp;" of our scenarios."</f>
        <v>TARF: strike 1.1245, 498 pips better than the forward. It stops once you have accumulated 1,000 pips of gains (probability 84%). On an unfavourable fixing you must convert 2x your flows, which happens at least once in 29% of our scenarios.</v>
      </c>
    </row>
    <row r="19" spans="2:2">
      <c r="B19" s="21" t="s">
        <v>101</v>
      </c>
    </row>
    <row r="20" spans="2:2" ht="34" customHeight="1">
      <c r="B20" s="23" t="s">
        <v>102</v>
      </c>
    </row>
    <row r="22" spans="2:2">
      <c r="B22" s="21" t="s">
        <v>103</v>
      </c>
    </row>
    <row r="23" spans="2:2" ht="34" customHeight="1">
      <c r="B23" s="23" t="s">
        <v>104</v>
      </c>
    </row>
  </sheetData>
  <pageMargins left="0.4" right="0.4" top="0.5" bottom="0.5" header="0.3" footer="0.3"/>
  <pageSetup paperSize="9" orientation="portrait"/>
</worksheet>
</file>

<file path=xl/worksheets/sheet3.xml><?xml version="1.0" encoding="utf-8"?>
<worksheet xmlns="http://schemas.openxmlformats.org/spreadsheetml/2006/main" xmlns:r="http://schemas.openxmlformats.org/officeDocument/2006/relationships">
  <sheetPr codeName="Sheet3">
    <pageSetUpPr fitToPage="1"/>
  </sheetPr>
  <dimension ref="A1:AA30"/>
  <sheetViews>
    <sheetView showGridLines="0" workbookViewId="0">
      <pane xSplit="3" ySplit="2" topLeftCell="D3" activePane="bottomRight" state="frozen"/>
      <selection pane="topRight" activeCell="D1" sqref="D1"/>
      <selection pane="bottomLeft" activeCell="A3" sqref="A3"/>
      <selection pane="bottomRight"/>
    </sheetView>
  </sheetViews>
  <sheetFormatPr defaultRowHeight="15"/>
  <cols>
    <col min="1" max="3" width="8.7109375" customWidth="1"/>
    <col min="4" max="27" width="12.28515625" customWidth="1"/>
  </cols>
  <sheetData>
    <row r="1" spans="1:27">
      <c r="A1" s="21" t="s">
        <v>50</v>
      </c>
    </row>
    <row r="2" spans="1:27" ht="30" customHeight="1">
      <c r="A2" s="8" t="s">
        <v>51</v>
      </c>
      <c r="B2" s="8" t="s">
        <v>52</v>
      </c>
      <c r="C2" s="8" t="s">
        <v>53</v>
      </c>
      <c r="D2" s="8" t="s">
        <v>38</v>
      </c>
      <c r="E2" s="8" t="s">
        <v>54</v>
      </c>
      <c r="F2" s="8" t="s">
        <v>55</v>
      </c>
      <c r="G2" s="8" t="s">
        <v>56</v>
      </c>
      <c r="H2" s="8" t="s">
        <v>57</v>
      </c>
      <c r="I2" s="8" t="s">
        <v>58</v>
      </c>
      <c r="J2" s="8" t="s">
        <v>59</v>
      </c>
      <c r="K2" s="8" t="s">
        <v>60</v>
      </c>
      <c r="L2" s="8" t="s">
        <v>61</v>
      </c>
      <c r="M2" s="8" t="s">
        <v>62</v>
      </c>
      <c r="N2" s="8" t="s">
        <v>63</v>
      </c>
      <c r="O2" s="8" t="s">
        <v>64</v>
      </c>
      <c r="P2" s="8" t="s">
        <v>65</v>
      </c>
      <c r="Q2" s="8" t="s">
        <v>61</v>
      </c>
      <c r="R2" s="8" t="s">
        <v>62</v>
      </c>
      <c r="S2" s="8" t="s">
        <v>63</v>
      </c>
      <c r="T2" s="8" t="s">
        <v>64</v>
      </c>
      <c r="U2" s="8" t="s">
        <v>65</v>
      </c>
      <c r="V2" s="8" t="s">
        <v>61</v>
      </c>
      <c r="W2" s="8" t="s">
        <v>62</v>
      </c>
      <c r="X2" s="8" t="s">
        <v>63</v>
      </c>
      <c r="Y2" s="8" t="s">
        <v>66</v>
      </c>
      <c r="Z2" s="8" t="s">
        <v>67</v>
      </c>
      <c r="AA2" s="8" t="s">
        <v>65</v>
      </c>
    </row>
    <row r="3" spans="1:27">
      <c r="A3" s="24">
        <f>ROW()-2</f>
        <v>1</v>
      </c>
      <c r="B3" s="24">
        <f>IF(A3&lt;=NMonths,1,0)</f>
        <v>1</v>
      </c>
      <c r="C3" s="25">
        <f>A3/12</f>
        <v>0.0833333333333333</v>
      </c>
      <c r="D3" s="25">
        <f>FX_FORWARD(C3)</f>
        <v>1.16679742682718</v>
      </c>
      <c r="E3" s="24">
        <f>(D3-Spot)*10000</f>
        <v>17.9742682717854</v>
      </c>
      <c r="F3" s="26">
        <f>FX_DFDOM(C3)</f>
        <v>0.996838341933971</v>
      </c>
      <c r="G3" s="26">
        <f>FX_DFFOR(C3)</f>
        <v>0.998376319597621</v>
      </c>
      <c r="H3" s="27">
        <f>-LN(F3)/C3</f>
        <v>0.0380000000000001</v>
      </c>
      <c r="I3" s="27">
        <f>-LN(G3)/C3</f>
        <v>0.0194999999999998</v>
      </c>
      <c r="J3" s="25">
        <f>D3-Phi*MarginBp/10000*AvgFwd</f>
        <v>1.16679742682718</v>
      </c>
      <c r="K3" s="28">
        <f>B3*Phi*Notional*F3*(D3/J3-1)/Spot</f>
        <v>0</v>
      </c>
      <c r="L3" s="27">
        <f>FX_VOL(Protect,C3)</f>
        <v>0.0727015406597832</v>
      </c>
      <c r="M3" s="25">
        <f>(LN(Spot/Protect)+(H3-I3+L3^2/2)*C3)/(L3*SQRT(C3))</f>
        <v>-0.525629593042326</v>
      </c>
      <c r="N3" s="25">
        <f>M3-L3*SQRT(C3)</f>
        <v>-0.546616720077539</v>
      </c>
      <c r="O3" s="26">
        <f>IF(Phi=1,Spot*G3*NORMSDIST(M3)-Protect*F3*NORMSDIST(N3),Protect*F3*NORMSDIST(-N3)-Spot*G3*NORMSDIST(-M3))</f>
        <v>0.00458739034902034</v>
      </c>
      <c r="P3" s="28">
        <f>B3*Notional/Protect*O3/Spot</f>
        <v>3337.01196553454</v>
      </c>
      <c r="Q3" s="27">
        <f>FX_VOL(Giveup,C3)</f>
        <v>0.0711436241107889</v>
      </c>
      <c r="R3" s="25">
        <f>(LN(Spot/Giveup)+(H3-I3+Q3^2/2)*C3)/(Q3*SQRT(C3))</f>
        <v>-0.0768950253849449</v>
      </c>
      <c r="S3" s="25">
        <f>R3-Q3*SQRT(C3)</f>
        <v>-0.0974324206506897</v>
      </c>
      <c r="T3" s="26">
        <f>IF(Phi=-1,Spot*G3*NORMSDIST(R3)-Giveup*F3*NORMSDIST(S3),Giveup*F3*NORMSDIST(-S3)-Spot*G3*NORMSDIST(-R3))</f>
        <v>0.0106161805314052</v>
      </c>
      <c r="U3" s="28">
        <f>B3*Notional/Giveup*T3/Spot</f>
        <v>7795.95762340868</v>
      </c>
      <c r="V3" s="27">
        <f>FX_VOL(PFStrike,C3)</f>
        <v>0.0749728601115905</v>
      </c>
      <c r="W3" s="25">
        <f>(LN(Spot/PFStrike)+(H3-I3+V3^2/2)*C3)/(V3*SQRT(C3))</f>
        <v>-0.999468255830216</v>
      </c>
      <c r="X3" s="25">
        <f>W3-V3*SQRT(C3)</f>
        <v>-1.02111105631389</v>
      </c>
      <c r="Y3" s="26">
        <f>IF(Phi=1,Spot*G3*NORMSDIST(W3)-PFStrike*F3*NORMSDIST(X3),PFStrike*F3*NORMSDIST(-X3)-Spot*G3*NORMSDIST(-W3))</f>
        <v>0.00207904954138086</v>
      </c>
      <c r="Z3" s="26">
        <f>IF(Phi=-1,Spot*G3*NORMSDIST(W3)-PFStrike*F3*NORMSDIST(X3),PFStrike*F3*NORMSDIST(-X3)-Spot*G3*NORMSDIST(-W3))</f>
        <v>0.0277910722555288</v>
      </c>
      <c r="AA3" s="28">
        <f>B3*Notional/PFStrike*(Y3-(1-Participation)*Z3)/Spot</f>
        <v>-8504.93332676647</v>
      </c>
    </row>
    <row r="4" spans="1:27">
      <c r="A4" s="24">
        <f>ROW()-2</f>
        <v>2</v>
      </c>
      <c r="B4" s="24">
        <f>IF(A4&lt;=NMonths,1,0)</f>
        <v>1</v>
      </c>
      <c r="C4" s="25">
        <f>A4/12</f>
        <v>0.166666666666667</v>
      </c>
      <c r="D4" s="25">
        <f>FX_FORWARD(C4)</f>
        <v>1.1684807729046</v>
      </c>
      <c r="E4" s="24">
        <f>(D4-Spot)*10000</f>
        <v>34.8077290459581</v>
      </c>
      <c r="F4" s="26">
        <f>FX_DFDOM(C4)</f>
        <v>0.993769490623395</v>
      </c>
      <c r="G4" s="26">
        <f>FX_DFFOR(C4)</f>
        <v>0.996738663083803</v>
      </c>
      <c r="H4" s="27">
        <f>-LN(F4)/C4</f>
        <v>0.0375000000000002</v>
      </c>
      <c r="I4" s="27">
        <f>-LN(G4)/C4</f>
        <v>0.0196</v>
      </c>
      <c r="J4" s="25">
        <f>D4-Phi*MarginBp/10000*AvgFwd</f>
        <v>1.1684807729046</v>
      </c>
      <c r="K4" s="28">
        <f>B4*Phi*Notional*F4*(D4/J4-1)/Spot</f>
        <v>0</v>
      </c>
      <c r="L4" s="27">
        <f>FX_VOL(Protect,C4)</f>
        <v>0.0734962047796417</v>
      </c>
      <c r="M4" s="25">
        <f>(LN(Spot/Protect)+(H4-I4+L4^2/2)*C4)/(L4*SQRT(C4))</f>
        <v>-0.311947032640861</v>
      </c>
      <c r="N4" s="25">
        <f>M4-L4*SQRT(C4)</f>
        <v>-0.341951732597732</v>
      </c>
      <c r="O4" s="26">
        <f>IF(Phi=1,Spot*G4*NORMSDIST(M4)-Protect*F4*NORMSDIST(N4),Protect*F4*NORMSDIST(-N4)-Spot*G4*NORMSDIST(-M4))</f>
        <v>0.00898390233367641</v>
      </c>
      <c r="P4" s="28">
        <f>B4*Notional/Protect*O4/Spot</f>
        <v>6535.17300769361</v>
      </c>
      <c r="Q4" s="27">
        <f>FX_VOL(Giveup,C4)</f>
        <v>0.0724940051084504</v>
      </c>
      <c r="R4" s="25">
        <f>(LN(Spot/Giveup)+(H4-I4+Q4^2/2)*C4)/(Q4*SQRT(C4))</f>
        <v>0.0030240769717071</v>
      </c>
      <c r="S4" s="25">
        <f>R4-Q4*SQRT(C4)</f>
        <v>-0.0265714766826963</v>
      </c>
      <c r="T4" s="26">
        <f>IF(Phi=-1,Spot*G4*NORMSDIST(R4)-Giveup*F4*NORMSDIST(S4),Giveup*F4*NORMSDIST(-S4)-Spot*G4*NORMSDIST(-R4))</f>
        <v>0.013915383069305</v>
      </c>
      <c r="U4" s="28">
        <f>B4*Notional/Giveup*T4/Spot</f>
        <v>10218.7162700256</v>
      </c>
      <c r="V4" s="27">
        <f>FX_VOL(PFStrike,C4)</f>
        <v>0.0752108859762802</v>
      </c>
      <c r="W4" s="25">
        <f>(LN(Spot/PFStrike)+(H4-I4+V4^2/2)*C4)/(V4*SQRT(C4))</f>
        <v>-0.64981683119665</v>
      </c>
      <c r="X4" s="25">
        <f>W4-V4*SQRT(C4)</f>
        <v>-0.680521546820739</v>
      </c>
      <c r="Y4" s="26">
        <f>IF(Phi=1,Spot*G4*NORMSDIST(W4)-PFStrike*F4*NORMSDIST(X4),PFStrike*F4*NORMSDIST(-X4)-Spot*G4*NORMSDIST(-W4))</f>
        <v>0.00545664920597561</v>
      </c>
      <c r="Z4" s="26">
        <f>IF(Phi=-1,Spot*G4*NORMSDIST(W4)-PFStrike*F4*NORMSDIST(X4),PFStrike*F4*NORMSDIST(-X4)-Spot*G4*NORMSDIST(-W4))</f>
        <v>0.0294166573053897</v>
      </c>
      <c r="AA4" s="28">
        <f>B4*Notional/PFStrike*(Y4-(1-Participation)*Z4)/Spot</f>
        <v>-6658.90967503264</v>
      </c>
    </row>
    <row r="5" spans="1:27">
      <c r="A5" s="24">
        <f>ROW()-2</f>
        <v>3</v>
      </c>
      <c r="B5" s="24">
        <f>IF(A5&lt;=NMonths,1,0)</f>
        <v>1</v>
      </c>
      <c r="C5" s="25">
        <f>A5/12</f>
        <v>0.25</v>
      </c>
      <c r="D5" s="25">
        <f>FX_FORWARD(C5)</f>
        <v>1.170049536752</v>
      </c>
      <c r="E5" s="24">
        <f>(D5-Spot)*10000</f>
        <v>50.4953675200026</v>
      </c>
      <c r="F5" s="26">
        <f>FX_DFDOM(C5)</f>
        <v>0.990792649645622</v>
      </c>
      <c r="G5" s="26">
        <f>FX_DFFOR(C5)</f>
        <v>0.995087107927164</v>
      </c>
      <c r="H5" s="27">
        <f>-LN(F5)/C5</f>
        <v>0.0369999999999999</v>
      </c>
      <c r="I5" s="27">
        <f>-LN(G5)/C5</f>
        <v>0.0196999999999998</v>
      </c>
      <c r="J5" s="25">
        <f>D5-Phi*MarginBp/10000*AvgFwd</f>
        <v>1.170049536752</v>
      </c>
      <c r="K5" s="28">
        <f>B5*Phi*Notional*F5*(D5/J5-1)/Spot</f>
        <v>0</v>
      </c>
      <c r="L5" s="27">
        <f>FX_VOL(Protect,C5)</f>
        <v>0.0746901543368349</v>
      </c>
      <c r="M5" s="25">
        <f>(LN(Spot/Protect)+(H5-I5+L5^2/2)*C5)/(L5*SQRT(C5))</f>
        <v>-0.208086973030112</v>
      </c>
      <c r="N5" s="25">
        <f>M5-L5*SQRT(C5)</f>
        <v>-0.245432050198529</v>
      </c>
      <c r="O5" s="26">
        <f>IF(Phi=1,Spot*G5*NORMSDIST(M5)-Protect*F5*NORMSDIST(N5),Protect*F5*NORMSDIST(-N5)-Spot*G5*NORMSDIST(-M5))</f>
        <v>0.0128584820638518</v>
      </c>
      <c r="P5" s="28">
        <f>B5*Notional/Protect*O5/Spot</f>
        <v>9353.66411860898</v>
      </c>
      <c r="Q5" s="27">
        <f>FX_VOL(Giveup,C5)</f>
        <v>0.0739008956472805</v>
      </c>
      <c r="R5" s="25">
        <f>(LN(Spot/Giveup)+(H5-I5+Q5^2/2)*C5)/(Q5*SQRT(C5))</f>
        <v>0.0453549387564959</v>
      </c>
      <c r="S5" s="25">
        <f>R5-Q5*SQRT(C5)</f>
        <v>0.00840449093285567</v>
      </c>
      <c r="T5" s="26">
        <f>IF(Phi=-1,Spot*G5*NORMSDIST(R5)-Giveup*F5*NORMSDIST(S5),Giveup*F5*NORMSDIST(-S5)-Spot*G5*NORMSDIST(-R5))</f>
        <v>0.0165102998546147</v>
      </c>
      <c r="U5" s="28">
        <f>B5*Notional/Giveup*T5/Spot</f>
        <v>12124.2849662909</v>
      </c>
      <c r="V5" s="27">
        <f>FX_VOL(PFStrike,C5)</f>
        <v>0.0761001170466302</v>
      </c>
      <c r="W5" s="25">
        <f>(LN(Spot/PFStrike)+(H5-I5+V5^2/2)*C5)/(V5*SQRT(C5))</f>
        <v>-0.482476541677021</v>
      </c>
      <c r="X5" s="25">
        <f>W5-V5*SQRT(C5)</f>
        <v>-0.520526600200336</v>
      </c>
      <c r="Y5" s="26">
        <f>IF(Phi=1,Spot*G5*NORMSDIST(W5)-PFStrike*F5*NORMSDIST(X5),PFStrike*F5*NORMSDIST(-X5)-Spot*G5*NORMSDIST(-W5))</f>
        <v>0.00878713005588949</v>
      </c>
      <c r="Z5" s="26">
        <f>IF(Phi=-1,Spot*G5*NORMSDIST(W5)-PFStrike*F5*NORMSDIST(X5),PFStrike*F5*NORMSDIST(-X5)-Spot*G5*NORMSDIST(-W5))</f>
        <v>0.0311210461542645</v>
      </c>
      <c r="AA5" s="28">
        <f>B5*Notional/PFStrike*(Y5-(1-Participation)*Z5)/Spot</f>
        <v>-4875.15943258779</v>
      </c>
    </row>
    <row r="6" spans="1:27">
      <c r="A6" s="24">
        <f>ROW()-2</f>
        <v>4</v>
      </c>
      <c r="B6" s="24">
        <f>IF(A6&lt;=NMonths,1,0)</f>
        <v>1</v>
      </c>
      <c r="C6" s="25">
        <f>A6/12</f>
        <v>0.333333333333333</v>
      </c>
      <c r="D6" s="25">
        <f>FX_FORWARD(C6)</f>
        <v>1.17150325058737</v>
      </c>
      <c r="E6" s="24">
        <f>(D6-Spot)*10000</f>
        <v>65.0325058736989</v>
      </c>
      <c r="F6" s="26">
        <f>FX_DFDOM(C6)</f>
        <v>0.987907047965576</v>
      </c>
      <c r="G6" s="26">
        <f>FX_DFFOR(C6)</f>
        <v>0.993421732162957</v>
      </c>
      <c r="H6" s="27">
        <f>-LN(F6)/C6</f>
        <v>0.0365000000000001</v>
      </c>
      <c r="I6" s="27">
        <f>-LN(G6)/C6</f>
        <v>0.0198</v>
      </c>
      <c r="J6" s="25">
        <f>D6-Phi*MarginBp/10000*AvgFwd</f>
        <v>1.17150325058737</v>
      </c>
      <c r="K6" s="28">
        <f>B6*Phi*Notional*F6*(D6/J6-1)/Spot</f>
        <v>0</v>
      </c>
      <c r="L6" s="27">
        <f>FX_VOL(Protect,C6)</f>
        <v>0.0759913168448635</v>
      </c>
      <c r="M6" s="25">
        <f>(LN(Spot/Protect)+(H6-I6+L6^2/2)*C6)/(L6*SQRT(C6))</f>
        <v>-0.142779189627886</v>
      </c>
      <c r="N6" s="25">
        <f>M6-L6*SQRT(C6)</f>
        <v>-0.186652796864342</v>
      </c>
      <c r="O6" s="26">
        <f>IF(Phi=1,Spot*G6*NORMSDIST(M6)-Protect*F6*NORMSDIST(N6),Protect*F6*NORMSDIST(-N6)-Spot*G6*NORMSDIST(-M6))</f>
        <v>0.0164068363463905</v>
      </c>
      <c r="P6" s="28">
        <f>B6*Notional/Protect*O6/Spot</f>
        <v>11934.8485825202</v>
      </c>
      <c r="Q6" s="27">
        <f>FX_VOL(Giveup,C6)</f>
        <v>0.0753464121692109</v>
      </c>
      <c r="R6" s="25">
        <f>(LN(Spot/Giveup)+(H6-I6+Q6^2/2)*C6)/(Q6*SQRT(C6))</f>
        <v>0.073125781693522</v>
      </c>
      <c r="S6" s="25">
        <f>R6-Q6*SQRT(C6)</f>
        <v>0.0296245103451556</v>
      </c>
      <c r="T6" s="26">
        <f>IF(Phi=-1,Spot*G6*NORMSDIST(R6)-Giveup*F6*NORMSDIST(S6),Giveup*F6*NORMSDIST(-S6)-Spot*G6*NORMSDIST(-R6))</f>
        <v>0.0187956407052768</v>
      </c>
      <c r="U6" s="28">
        <f>B6*Notional/Giveup*T6/Spot</f>
        <v>13802.5175824471</v>
      </c>
      <c r="V6" s="27">
        <f>FX_VOL(PFStrike,C6)</f>
        <v>0.0771575024387682</v>
      </c>
      <c r="W6" s="25">
        <f>(LN(Spot/PFStrike)+(H6-I6+V6^2/2)*C6)/(V6*SQRT(C6))</f>
        <v>-0.378214472314511</v>
      </c>
      <c r="X6" s="25">
        <f>W6-V6*SQRT(C6)</f>
        <v>-0.422761377117533</v>
      </c>
      <c r="Y6" s="26">
        <f>IF(Phi=1,Spot*G6*NORMSDIST(W6)-PFStrike*F6*NORMSDIST(X6),PFStrike*F6*NORMSDIST(-X6)-Spot*G6*NORMSDIST(-W6))</f>
        <v>0.0119767298287947</v>
      </c>
      <c r="Z6" s="26">
        <f>IF(Phi=-1,Spot*G6*NORMSDIST(W6)-PFStrike*F6*NORMSDIST(X6),PFStrike*F6*NORMSDIST(-X6)-Spot*G6*NORMSDIST(-W6))</f>
        <v>0.0328094660992638</v>
      </c>
      <c r="AA6" s="28">
        <f>B6*Notional/PFStrike*(Y6-(1-Participation)*Z6)/Spot</f>
        <v>-3187.06172842645</v>
      </c>
    </row>
    <row r="7" spans="1:27">
      <c r="A7" s="24">
        <f>ROW()-2</f>
        <v>5</v>
      </c>
      <c r="B7" s="24">
        <f>IF(A7&lt;=NMonths,1,0)</f>
        <v>1</v>
      </c>
      <c r="C7" s="25">
        <f>A7/12</f>
        <v>0.416666666666667</v>
      </c>
      <c r="D7" s="25">
        <f>FX_FORWARD(C7)</f>
        <v>1.17284148055938</v>
      </c>
      <c r="E7" s="24">
        <f>(D7-Spot)*10000</f>
        <v>78.414805593785</v>
      </c>
      <c r="F7" s="26">
        <f>FX_DFDOM(C7)</f>
        <v>0.985111939603063</v>
      </c>
      <c r="G7" s="26">
        <f>FX_DFFOR(C7)</f>
        <v>0.991742614386933</v>
      </c>
      <c r="H7" s="27">
        <f>-LN(F7)/C7</f>
        <v>0.036</v>
      </c>
      <c r="I7" s="27">
        <f>-LN(G7)/C7</f>
        <v>0.0199</v>
      </c>
      <c r="J7" s="25">
        <f>D7-Phi*MarginBp/10000*AvgFwd</f>
        <v>1.17284148055938</v>
      </c>
      <c r="K7" s="28">
        <f>B7*Phi*Notional*F7*(D7/J7-1)/Spot</f>
        <v>0</v>
      </c>
      <c r="L7" s="27">
        <f>FX_VOL(Protect,C7)</f>
        <v>0.0767446817792277</v>
      </c>
      <c r="M7" s="25">
        <f>(LN(Spot/Protect)+(H7-I7+L7^2/2)*C7)/(L7*SQRT(C7))</f>
        <v>-0.0980649338247167</v>
      </c>
      <c r="N7" s="25">
        <f>M7-L7*SQRT(C7)</f>
        <v>-0.147603412898206</v>
      </c>
      <c r="O7" s="26">
        <f>IF(Phi=1,Spot*G7*NORMSDIST(M7)-Protect*F7*NORMSDIST(N7),Protect*F7*NORMSDIST(-N7)-Spot*G7*NORMSDIST(-M7))</f>
        <v>0.0195476570356384</v>
      </c>
      <c r="P7" s="28">
        <f>B7*Notional/Protect*O7/Spot</f>
        <v>14219.5802979839</v>
      </c>
      <c r="Q7" s="27">
        <f>FX_VOL(Giveup,C7)</f>
        <v>0.0761811629869312</v>
      </c>
      <c r="R7" s="25">
        <f>(LN(Spot/Giveup)+(H7-I7+Q7^2/2)*C7)/(Q7*SQRT(C7))</f>
        <v>0.0932517148999788</v>
      </c>
      <c r="S7" s="25">
        <f>R7-Q7*SQRT(C7)</f>
        <v>0.0440769856427959</v>
      </c>
      <c r="T7" s="26">
        <f>IF(Phi=-1,Spot*G7*NORMSDIST(R7)-Giveup*F7*NORMSDIST(S7),Giveup*F7*NORMSDIST(-S7)-Spot*G7*NORMSDIST(-R7))</f>
        <v>0.0207316210355866</v>
      </c>
      <c r="U7" s="28">
        <f>B7*Notional/Giveup*T7/Spot</f>
        <v>15224.1984374589</v>
      </c>
      <c r="V7" s="27">
        <f>FX_VOL(PFStrike,C7)</f>
        <v>0.0777622370006008</v>
      </c>
      <c r="W7" s="25">
        <f>(LN(Spot/PFStrike)+(H7-I7+V7^2/2)*C7)/(V7*SQRT(C7))</f>
        <v>-0.30757947069679</v>
      </c>
      <c r="X7" s="25">
        <f>W7-V7*SQRT(C7)</f>
        <v>-0.357774778841317</v>
      </c>
      <c r="Y7" s="26">
        <f>IF(Phi=1,Spot*G7*NORMSDIST(W7)-PFStrike*F7*NORMSDIST(X7),PFStrike*F7*NORMSDIST(-X7)-Spot*G7*NORMSDIST(-W7))</f>
        <v>0.0148799976026144</v>
      </c>
      <c r="Z7" s="26">
        <f>IF(Phi=-1,Spot*G7*NORMSDIST(W7)-PFStrike*F7*NORMSDIST(X7),PFStrike*F7*NORMSDIST(-X7)-Spot*G7*NORMSDIST(-W7))</f>
        <v>0.0343354850049932</v>
      </c>
      <c r="AA7" s="28">
        <f>B7*Notional/PFStrike*(Y7-(1-Participation)*Z7)/Spot</f>
        <v>-1646.60770355963</v>
      </c>
    </row>
    <row r="8" spans="1:27">
      <c r="A8" s="24">
        <f>ROW()-2</f>
        <v>6</v>
      </c>
      <c r="B8" s="24">
        <f>IF(A8&lt;=NMonths,1,0)</f>
        <v>1</v>
      </c>
      <c r="C8" s="25">
        <f>A8/12</f>
        <v>0.5</v>
      </c>
      <c r="D8" s="25">
        <f>FX_FORWARD(C8)</f>
        <v>1.17406382696319</v>
      </c>
      <c r="E8" s="24">
        <f>(D8-Spot)*10000</f>
        <v>90.6382696318553</v>
      </c>
      <c r="F8" s="26">
        <f>FX_DFDOM(C8)</f>
        <v>0.98240660331148</v>
      </c>
      <c r="G8" s="26">
        <f>FX_DFFOR(C8)</f>
        <v>0.990049833749168</v>
      </c>
      <c r="H8" s="27">
        <f>-LN(F8)/C8</f>
        <v>0.0355</v>
      </c>
      <c r="I8" s="27">
        <f>-LN(G8)/C8</f>
        <v>0.0199999999999999</v>
      </c>
      <c r="J8" s="25">
        <f>D8-Phi*MarginBp/10000*AvgFwd</f>
        <v>1.17406382696319</v>
      </c>
      <c r="K8" s="28">
        <f>B8*Phi*Notional*F8*(D8/J8-1)/Spot</f>
        <v>0</v>
      </c>
      <c r="L8" s="27">
        <f>FX_VOL(Protect,C8)</f>
        <v>0.0772300496664582</v>
      </c>
      <c r="M8" s="25">
        <f>(LN(Spot/Protect)+(H8-I8+L8^2/2)*C8)/(L8*SQRT(C8))</f>
        <v>-0.0650473970551406</v>
      </c>
      <c r="N8" s="25">
        <f>M8-L8*SQRT(C8)</f>
        <v>-0.119657288885667</v>
      </c>
      <c r="O8" s="26">
        <f>IF(Phi=1,Spot*G8*NORMSDIST(M8)-Protect*F8*NORMSDIST(N8),Protect*F8*NORMSDIST(-N8)-Spot*G8*NORMSDIST(-M8))</f>
        <v>0.0223802141478479</v>
      </c>
      <c r="P8" s="28">
        <f>B8*Notional/Protect*O8/Spot</f>
        <v>16280.0713958303</v>
      </c>
      <c r="Q8" s="27">
        <f>FX_VOL(Giveup,C8)</f>
        <v>0.0767169624183914</v>
      </c>
      <c r="R8" s="25">
        <f>(LN(Spot/Giveup)+(H8-I8+Q8^2/2)*C8)/(Q8*SQRT(C8))</f>
        <v>0.108569716718457</v>
      </c>
      <c r="S8" s="25">
        <f>R8-Q8*SQRT(C8)</f>
        <v>0.0543226323603787</v>
      </c>
      <c r="T8" s="26">
        <f>IF(Phi=-1,Spot*G8*NORMSDIST(R8)-Giveup*F8*NORMSDIST(S8),Giveup*F8*NORMSDIST(-S8)-Spot*G8*NORMSDIST(-R8))</f>
        <v>0.0224435033586397</v>
      </c>
      <c r="U8" s="28">
        <f>B8*Notional/Giveup*T8/Spot</f>
        <v>16481.3136501575</v>
      </c>
      <c r="V8" s="27">
        <f>FX_VOL(PFStrike,C8)</f>
        <v>0.0781494405796001</v>
      </c>
      <c r="W8" s="25">
        <f>(LN(Spot/PFStrike)+(H8-I8+V8^2/2)*C8)/(V8*SQRT(C8))</f>
        <v>-0.255706306851641</v>
      </c>
      <c r="X8" s="25">
        <f>W8-V8*SQRT(C8)</f>
        <v>-0.310966306231411</v>
      </c>
      <c r="Y8" s="26">
        <f>IF(Phi=1,Spot*G8*NORMSDIST(W8)-PFStrike*F8*NORMSDIST(X8),PFStrike*F8*NORMSDIST(-X8)-Spot*G8*NORMSDIST(-W8))</f>
        <v>0.0175457376540458</v>
      </c>
      <c r="Z8" s="26">
        <f>IF(Phi=-1,Spot*G8*NORMSDIST(W8)-PFStrike*F8*NORMSDIST(X8),PFStrike*F8*NORMSDIST(-X8)-Spot*G8*NORMSDIST(-W8))</f>
        <v>0.0357469547861067</v>
      </c>
      <c r="AA8" s="28">
        <f>B8*Notional/PFStrike*(Y8-(1-Participation)*Z8)/Spot</f>
        <v>-235.891151605314</v>
      </c>
    </row>
    <row r="9" spans="1:27">
      <c r="A9" s="24">
        <f>ROW()-2</f>
        <v>7</v>
      </c>
      <c r="B9" s="24">
        <f>IF(A9&lt;=NMonths,1,0)</f>
        <v>1</v>
      </c>
      <c r="C9" s="25">
        <f>A9/12</f>
        <v>0.583333333333333</v>
      </c>
      <c r="D9" s="25">
        <f>FX_FORWARD(C9)</f>
        <v>1.17528418262507</v>
      </c>
      <c r="E9" s="24">
        <f>(D9-Spot)*10000</f>
        <v>102.84182625073</v>
      </c>
      <c r="F9" s="26">
        <f>FX_DFDOM(C9)</f>
        <v>0.979695089503782</v>
      </c>
      <c r="G9" s="26">
        <f>FX_DFFOR(C9)</f>
        <v>0.988343469947854</v>
      </c>
      <c r="H9" s="27">
        <f>-LN(F9)/C9</f>
        <v>0.0351666666666666</v>
      </c>
      <c r="I9" s="27">
        <f>-LN(G9)/C9</f>
        <v>0.0201</v>
      </c>
      <c r="J9" s="25">
        <f>D9-Phi*MarginBp/10000*AvgFwd</f>
        <v>1.17528418262507</v>
      </c>
      <c r="K9" s="28">
        <f>B9*Phi*Notional*F9*(D9/J9-1)/Spot</f>
        <v>0</v>
      </c>
      <c r="L9" s="27">
        <f>FX_VOL(Protect,C9)</f>
        <v>0.0779955959353944</v>
      </c>
      <c r="M9" s="25">
        <f>(LN(Spot/Protect)+(H9-I9+L9^2/2)*C9)/(L9*SQRT(C9))</f>
        <v>-0.0374376102697433</v>
      </c>
      <c r="N9" s="25">
        <f>M9-L9*SQRT(C9)</f>
        <v>-0.0970077306442657</v>
      </c>
      <c r="O9" s="26">
        <f>IF(Phi=1,Spot*G9*NORMSDIST(M9)-Protect*F9*NORMSDIST(N9),Protect*F9*NORMSDIST(-N9)-Spot*G9*NORMSDIST(-M9))</f>
        <v>0.0251662578269711</v>
      </c>
      <c r="P9" s="28">
        <f>B9*Notional/Protect*O9/Spot</f>
        <v>18306.7271600867</v>
      </c>
      <c r="Q9" s="27">
        <f>FX_VOL(Giveup,C9)</f>
        <v>0.0775410397383624</v>
      </c>
      <c r="R9" s="25">
        <f>(LN(Spot/Giveup)+(H9-I9+Q9^2/2)*C9)/(Q9*SQRT(C9))</f>
        <v>0.121756607179897</v>
      </c>
      <c r="S9" s="25">
        <f>R9-Q9*SQRT(C9)</f>
        <v>0.0625336598354591</v>
      </c>
      <c r="T9" s="26">
        <f>IF(Phi=-1,Spot*G9*NORMSDIST(R9)-Giveup*F9*NORMSDIST(S9),Giveup*F9*NORMSDIST(-S9)-Spot*G9*NORMSDIST(-R9))</f>
        <v>0.0241079718169828</v>
      </c>
      <c r="U9" s="28">
        <f>B9*Notional/Giveup*T9/Spot</f>
        <v>17703.6106456124</v>
      </c>
      <c r="V9" s="27">
        <f>FX_VOL(PFStrike,C9)</f>
        <v>0.0788114774302937</v>
      </c>
      <c r="W9" s="25">
        <f>(LN(Spot/PFStrike)+(H9-I9+V9^2/2)*C9)/(V9*SQRT(C9))</f>
        <v>-0.212759051705709</v>
      </c>
      <c r="X9" s="25">
        <f>W9-V9*SQRT(C9)</f>
        <v>-0.27295231186498</v>
      </c>
      <c r="Y9" s="26">
        <f>IF(Phi=1,Spot*G9*NORMSDIST(W9)-PFStrike*F9*NORMSDIST(X9),PFStrike*F9*NORMSDIST(-X9)-Spot*G9*NORMSDIST(-W9))</f>
        <v>0.0201884373628868</v>
      </c>
      <c r="Z9" s="26">
        <f>IF(Phi=-1,Spot*G9*NORMSDIST(W9)-PFStrike*F9*NORMSDIST(X9),PFStrike*F9*NORMSDIST(-X9)-Spot*G9*NORMSDIST(-W9))</f>
        <v>0.0371438413600415</v>
      </c>
      <c r="AA9" s="28">
        <f>B9*Notional/PFStrike*(Y9-(1-Participation)*Z9)/Spot</f>
        <v>1163.49022265418</v>
      </c>
    </row>
    <row r="10" spans="1:27">
      <c r="A10" s="24">
        <f>ROW()-2</f>
        <v>8</v>
      </c>
      <c r="B10" s="24">
        <f>IF(A10&lt;=NMonths,1,0)</f>
        <v>1</v>
      </c>
      <c r="C10" s="25">
        <f>A10/12</f>
        <v>0.666666666666667</v>
      </c>
      <c r="D10" s="25">
        <f>FX_FORWARD(C10)</f>
        <v>1.17642083996415</v>
      </c>
      <c r="E10" s="24">
        <f>(D10-Spot)*10000</f>
        <v>114.208399641458</v>
      </c>
      <c r="F10" s="26">
        <f>FX_DFDOM(C10)</f>
        <v>0.977045338460589</v>
      </c>
      <c r="G10" s="26">
        <f>FX_DFFOR(C10)</f>
        <v>0.986623603223055</v>
      </c>
      <c r="H10" s="27">
        <f>-LN(F10)/C10</f>
        <v>0.0348333333333333</v>
      </c>
      <c r="I10" s="27">
        <f>-LN(G10)/C10</f>
        <v>0.0201999999999999</v>
      </c>
      <c r="J10" s="25">
        <f>D10-Phi*MarginBp/10000*AvgFwd</f>
        <v>1.17642083996415</v>
      </c>
      <c r="K10" s="28">
        <f>B10*Phi*Notional*F10*(D10/J10-1)/Spot</f>
        <v>0</v>
      </c>
      <c r="L10" s="27">
        <f>FX_VOL(Protect,C10)</f>
        <v>0.0785589625514341</v>
      </c>
      <c r="M10" s="25">
        <f>(LN(Spot/Protect)+(H10-I10+L10^2/2)*C10)/(L10*SQRT(C10))</f>
        <v>-0.0152880876263643</v>
      </c>
      <c r="N10" s="25">
        <f>M10-L10*SQRT(C10)</f>
        <v>-0.0794312119508395</v>
      </c>
      <c r="O10" s="26">
        <f>IF(Phi=1,Spot*G10*NORMSDIST(M10)-Protect*F10*NORMSDIST(N10),Protect*F10*NORMSDIST(-N10)-Spot*G10*NORMSDIST(-M10))</f>
        <v>0.0277370891759572</v>
      </c>
      <c r="P10" s="28">
        <f>B10*Notional/Protect*O10/Spot</f>
        <v>20176.8307092145</v>
      </c>
      <c r="Q10" s="27">
        <f>FX_VOL(Giveup,C10)</f>
        <v>0.0781471055345547</v>
      </c>
      <c r="R10" s="25">
        <f>(LN(Spot/Giveup)+(H10-I10+Q10^2/2)*C10)/(Q10*SQRT(C10))</f>
        <v>0.132578719833885</v>
      </c>
      <c r="S10" s="25">
        <f>R10-Q10*SQRT(C10)</f>
        <v>0.0687718753555226</v>
      </c>
      <c r="T10" s="26">
        <f>IF(Phi=-1,Spot*G10*NORMSDIST(R10)-Giveup*F10*NORMSDIST(S10),Giveup*F10*NORMSDIST(-S10)-Spot*G10*NORMSDIST(-R10))</f>
        <v>0.0256276985680073</v>
      </c>
      <c r="U10" s="28">
        <f>B10*Notional/Giveup*T10/Spot</f>
        <v>18819.6170393525</v>
      </c>
      <c r="V10" s="27">
        <f>FX_VOL(PFStrike,C10)</f>
        <v>0.079297834117876</v>
      </c>
      <c r="W10" s="25">
        <f>(LN(Spot/PFStrike)+(H10-I10+V10^2/2)*C10)/(V10*SQRT(C10))</f>
        <v>-0.178474137162614</v>
      </c>
      <c r="X10" s="25">
        <f>W10-V10*SQRT(C10)</f>
        <v>-0.243220547594834</v>
      </c>
      <c r="Y10" s="26">
        <f>IF(Phi=1,Spot*G10*NORMSDIST(W10)-PFStrike*F10*NORMSDIST(X10),PFStrike*F10*NORMSDIST(-X10)-Spot*G10*NORMSDIST(-W10))</f>
        <v>0.022650527494151</v>
      </c>
      <c r="Z10" s="26">
        <f>IF(Phi=-1,Spot*G10*NORMSDIST(W10)-PFStrike*F10*NORMSDIST(X10),PFStrike*F10*NORMSDIST(-X10)-Spot*G10*NORMSDIST(-W10))</f>
        <v>0.038449506979344</v>
      </c>
      <c r="AA10" s="28">
        <f>B10*Notional/PFStrike*(Y10-(1-Participation)*Z10)/Spot</f>
        <v>2465.7057990687</v>
      </c>
    </row>
    <row r="11" spans="1:27">
      <c r="A11" s="24">
        <f>ROW()-2</f>
        <v>9</v>
      </c>
      <c r="B11" s="24">
        <f>IF(A11&lt;=NMonths,1,0)</f>
        <v>1</v>
      </c>
      <c r="C11" s="25">
        <f>A11/12</f>
        <v>0.75</v>
      </c>
      <c r="D11" s="25">
        <f>FX_FORWARD(C11)</f>
        <v>1.17747355377561</v>
      </c>
      <c r="E11" s="24">
        <f>(D11-Spot)*10000</f>
        <v>124.735537756069</v>
      </c>
      <c r="F11" s="26">
        <f>FX_DFDOM(C11)</f>
        <v>0.974456889107261</v>
      </c>
      <c r="G11" s="26">
        <f>FX_DFFOR(C11)</f>
        <v>0.984890314350428</v>
      </c>
      <c r="H11" s="27">
        <f>-LN(F11)/C11</f>
        <v>0.0345</v>
      </c>
      <c r="I11" s="27">
        <f>-LN(G11)/C11</f>
        <v>0.0203</v>
      </c>
      <c r="J11" s="25">
        <f>D11-Phi*MarginBp/10000*AvgFwd</f>
        <v>1.17747355377561</v>
      </c>
      <c r="K11" s="28">
        <f>B11*Phi*Notional*F11*(D11/J11-1)/Spot</f>
        <v>0</v>
      </c>
      <c r="L11" s="27">
        <f>FX_VOL(Protect,C11)</f>
        <v>0.0789897390443797</v>
      </c>
      <c r="M11" s="25">
        <f>(LN(Spot/Protect)+(H11-I11+L11^2/2)*C11)/(L11*SQRT(C11))</f>
        <v>0.00287127445336498</v>
      </c>
      <c r="N11" s="25">
        <f>M11-L11*SQRT(C11)</f>
        <v>-0.0655358461973714</v>
      </c>
      <c r="O11" s="26">
        <f>IF(Phi=1,Spot*G11*NORMSDIST(M11)-Protect*F11*NORMSDIST(N11),Protect*F11*NORMSDIST(-N11)-Spot*G11*NORMSDIST(-M11))</f>
        <v>0.0301249378149988</v>
      </c>
      <c r="P11" s="28">
        <f>B11*Notional/Protect*O11/Spot</f>
        <v>21913.826882228</v>
      </c>
      <c r="Q11" s="27">
        <f>FX_VOL(Giveup,C11)</f>
        <v>0.0786100571751294</v>
      </c>
      <c r="R11" s="25">
        <f>(LN(Spot/Giveup)+(H11-I11+Q11^2/2)*C11)/(Q11*SQRT(C11))</f>
        <v>0.14153620887075</v>
      </c>
      <c r="S11" s="25">
        <f>R11-Q11*SQRT(C11)</f>
        <v>0.073457902364141</v>
      </c>
      <c r="T11" s="26">
        <f>IF(Phi=-1,Spot*G11*NORMSDIST(R11)-Giveup*F11*NORMSDIST(S11),Giveup*F11*NORMSDIST(-S11)-Spot*G11*NORMSDIST(-R11))</f>
        <v>0.0270389078776964</v>
      </c>
      <c r="U11" s="28">
        <f>B11*Notional/Giveup*T11/Spot</f>
        <v>19855.9340032125</v>
      </c>
      <c r="V11" s="27">
        <f>FX_VOL(PFStrike,C11)</f>
        <v>0.0796694688535877</v>
      </c>
      <c r="W11" s="25">
        <f>(LN(Spot/PFStrike)+(H11-I11+V11^2/2)*C11)/(V11*SQRT(C11))</f>
        <v>-0.150399842307975</v>
      </c>
      <c r="X11" s="25">
        <f>W11-V11*SQRT(C11)</f>
        <v>-0.219395626241195</v>
      </c>
      <c r="Y11" s="26">
        <f>IF(Phi=1,Spot*G11*NORMSDIST(W11)-PFStrike*F11*NORMSDIST(X11),PFStrike*F11*NORMSDIST(-X11)-Spot*G11*NORMSDIST(-W11))</f>
        <v>0.0249547314317859</v>
      </c>
      <c r="Z11" s="26">
        <f>IF(Phi=-1,Spot*G11*NORMSDIST(W11)-PFStrike*F11*NORMSDIST(X11),PFStrike*F11*NORMSDIST(-X11)-Spot*G11*NORMSDIST(-W11))</f>
        <v>0.0396860310508546</v>
      </c>
      <c r="AA11" s="28">
        <f>B11*Notional/PFStrike*(Y11-(1-Participation)*Z11)/Spot</f>
        <v>3679.16492361184</v>
      </c>
    </row>
    <row r="12" spans="1:27">
      <c r="A12" s="24">
        <f>ROW()-2</f>
        <v>10</v>
      </c>
      <c r="B12" s="24">
        <f>IF(A12&lt;=NMonths,1,0)</f>
        <v>1</v>
      </c>
      <c r="C12" s="25">
        <f>A12/12</f>
        <v>0.833333333333333</v>
      </c>
      <c r="D12" s="25">
        <f>FX_FORWARD(C12)</f>
        <v>1.17847483177918</v>
      </c>
      <c r="E12" s="24">
        <f>(D12-Spot)*10000</f>
        <v>134.748317791826</v>
      </c>
      <c r="F12" s="26">
        <f>FX_DFDOM(C12)</f>
        <v>0.971929291807051</v>
      </c>
      <c r="G12" s="26">
        <f>FX_DFFOR(C12)</f>
        <v>0.983170994561008</v>
      </c>
      <c r="H12" s="27">
        <f>-LN(F12)/C12</f>
        <v>0.0341666666666667</v>
      </c>
      <c r="I12" s="27">
        <f>-LN(G12)/C12</f>
        <v>0.0203666666666666</v>
      </c>
      <c r="J12" s="25">
        <f>D12-Phi*MarginBp/10000*AvgFwd</f>
        <v>1.17847483177918</v>
      </c>
      <c r="K12" s="28">
        <f>B12*Phi*Notional*F12*(D12/J12-1)/Spot</f>
        <v>0</v>
      </c>
      <c r="L12" s="27">
        <f>FX_VOL(Protect,C12)</f>
        <v>0.0795366084598812</v>
      </c>
      <c r="M12" s="25">
        <f>(LN(Spot/Protect)+(H12-I12+L12^2/2)*C12)/(L12*SQRT(C12))</f>
        <v>0.0184902039576104</v>
      </c>
      <c r="N12" s="25">
        <f>M12-L12*SQRT(C12)</f>
        <v>-0.0541164537106116</v>
      </c>
      <c r="O12" s="26">
        <f>IF(Phi=1,Spot*G12*NORMSDIST(M12)-Protect*F12*NORMSDIST(N12),Protect*F12*NORMSDIST(-N12)-Spot*G12*NORMSDIST(-M12))</f>
        <v>0.0324555983626452</v>
      </c>
      <c r="P12" s="28">
        <f>B12*Notional/Protect*O12/Spot</f>
        <v>23609.2226395906</v>
      </c>
      <c r="Q12" s="27">
        <f>FX_VOL(Giveup,C12)</f>
        <v>0.0791831804068231</v>
      </c>
      <c r="R12" s="25">
        <f>(LN(Spot/Giveup)+(H12-I12+Q12^2/2)*C12)/(Q12*SQRT(C12))</f>
        <v>0.14914371126048</v>
      </c>
      <c r="S12" s="25">
        <f>R12-Q12*SQRT(C12)</f>
        <v>0.0768596877874502</v>
      </c>
      <c r="T12" s="26">
        <f>IF(Phi=-1,Spot*G12*NORMSDIST(R12)-Giveup*F12*NORMSDIST(S12),Giveup*F12*NORMSDIST(-S12)-Spot*G12*NORMSDIST(-R12))</f>
        <v>0.0284392047800043</v>
      </c>
      <c r="U12" s="28">
        <f>B12*Notional/Giveup*T12/Spot</f>
        <v>20884.2374762261</v>
      </c>
      <c r="V12" s="27">
        <f>FX_VOL(PFStrike,C12)</f>
        <v>0.0801670803553828</v>
      </c>
      <c r="W12" s="25">
        <f>(LN(Spot/PFStrike)+(H12-I12+V12^2/2)*C12)/(V12*SQRT(C12))</f>
        <v>-0.126114649418272</v>
      </c>
      <c r="X12" s="25">
        <f>W12-V12*SQRT(C12)</f>
        <v>-0.199296846551559</v>
      </c>
      <c r="Y12" s="26">
        <f>IF(Phi=1,Spot*G12*NORMSDIST(W12)-PFStrike*F12*NORMSDIST(X12),PFStrike*F12*NORMSDIST(-X12)-Spot*G12*NORMSDIST(-W12))</f>
        <v>0.0272171437659121</v>
      </c>
      <c r="Z12" s="26">
        <f>IF(Phi=-1,Spot*G12*NORMSDIST(W12)-PFStrike*F12*NORMSDIST(X12),PFStrike*F12*NORMSDIST(-X12)-Spot*G12*NORMSDIST(-W12))</f>
        <v>0.0409370611478004</v>
      </c>
      <c r="AA12" s="28">
        <f>B12*Notional/PFStrike*(Y12-(1-Participation)*Z12)/Spot</f>
        <v>4857.32411462618</v>
      </c>
    </row>
    <row r="13" spans="1:27">
      <c r="A13" s="24">
        <f>ROW()-2</f>
        <v>11</v>
      </c>
      <c r="B13" s="24">
        <f>IF(A13&lt;=NMonths,1,0)</f>
        <v>1</v>
      </c>
      <c r="C13" s="25">
        <f>A13/12</f>
        <v>0.916666666666667</v>
      </c>
      <c r="D13" s="25">
        <f>FX_FORWARD(C13)</f>
        <v>1.17939833205446</v>
      </c>
      <c r="E13" s="24">
        <f>(D13-Spot)*10000</f>
        <v>143.983320544614</v>
      </c>
      <c r="F13" s="26">
        <f>FX_DFDOM(C13)</f>
        <v>0.969462108231017</v>
      </c>
      <c r="G13" s="26">
        <f>FX_DFFOR(C13)</f>
        <v>0.981443771191127</v>
      </c>
      <c r="H13" s="27">
        <f>-LN(F13)/C13</f>
        <v>0.0338333333333333</v>
      </c>
      <c r="I13" s="27">
        <f>-LN(G13)/C13</f>
        <v>0.0204333333333334</v>
      </c>
      <c r="J13" s="25">
        <f>D13-Phi*MarginBp/10000*AvgFwd</f>
        <v>1.17939833205446</v>
      </c>
      <c r="K13" s="28">
        <f>B13*Phi*Notional*F13*(D13/J13-1)/Spot</f>
        <v>0</v>
      </c>
      <c r="L13" s="27">
        <f>FX_VOL(Protect,C13)</f>
        <v>0.0799779473089515</v>
      </c>
      <c r="M13" s="25">
        <f>(LN(Spot/Protect)+(H13-I13+L13^2/2)*C13)/(L13*SQRT(C13))</f>
        <v>0.0316259843542301</v>
      </c>
      <c r="N13" s="25">
        <f>M13-L13*SQRT(C13)</f>
        <v>-0.0449470704220681</v>
      </c>
      <c r="O13" s="26">
        <f>IF(Phi=1,Spot*G13*NORMSDIST(M13)-Protect*F13*NORMSDIST(N13),Protect*F13*NORMSDIST(-N13)-Spot*G13*NORMSDIST(-M13))</f>
        <v>0.0346377980034138</v>
      </c>
      <c r="P13" s="28">
        <f>B13*Notional/Protect*O13/Spot</f>
        <v>25196.6232657408</v>
      </c>
      <c r="Q13" s="27">
        <f>FX_VOL(Giveup,C13)</f>
        <v>0.0796450225109515</v>
      </c>
      <c r="R13" s="25">
        <f>(LN(Spot/Giveup)+(H13-I13+Q13^2/2)*C13)/(Q13*SQRT(C13))</f>
        <v>0.15551791423024</v>
      </c>
      <c r="S13" s="25">
        <f>R13-Q13*SQRT(C13)</f>
        <v>0.0792636106803911</v>
      </c>
      <c r="T13" s="26">
        <f>IF(Phi=-1,Spot*G13*NORMSDIST(R13)-Giveup*F13*NORMSDIST(S13),Giveup*F13*NORMSDIST(-S13)-Spot*G13*NORMSDIST(-R13))</f>
        <v>0.0297629887004326</v>
      </c>
      <c r="U13" s="28">
        <f>B13*Notional/Giveup*T13/Spot</f>
        <v>21856.353890004</v>
      </c>
      <c r="V13" s="27">
        <f>FX_VOL(PFStrike,C13)</f>
        <v>0.0805692029255722</v>
      </c>
      <c r="W13" s="25">
        <f>(LN(Spot/PFStrike)+(H13-I13+V13^2/2)*C13)/(V13*SQRT(C13))</f>
        <v>-0.105635187607557</v>
      </c>
      <c r="X13" s="25">
        <f>W13-V13*SQRT(C13)</f>
        <v>-0.182774326538821</v>
      </c>
      <c r="Y13" s="26">
        <f>IF(Phi=1,Spot*G13*NORMSDIST(W13)-PFStrike*F13*NORMSDIST(X13),PFStrike*F13*NORMSDIST(-X13)-Spot*G13*NORMSDIST(-W13))</f>
        <v>0.0293466250547677</v>
      </c>
      <c r="Z13" s="26">
        <f>IF(Phi=-1,Spot*G13*NORMSDIST(W13)-PFStrike*F13*NORMSDIST(X13),PFStrike*F13*NORMSDIST(-X13)-Spot*G13*NORMSDIST(-W13))</f>
        <v>0.0421364167344412</v>
      </c>
      <c r="AA13" s="28">
        <f>B13*Notional/PFStrike*(Y13-(1-Participation)*Z13)/Spot</f>
        <v>5958.40239516806</v>
      </c>
    </row>
    <row r="14" spans="1:27">
      <c r="A14" s="24">
        <f>ROW()-2</f>
        <v>12</v>
      </c>
      <c r="B14" s="24">
        <f>IF(A14&lt;=NMonths,1,0)</f>
        <v>1</v>
      </c>
      <c r="C14" s="25">
        <f>A14/12</f>
        <v>1</v>
      </c>
      <c r="D14" s="25">
        <f>FX_FORWARD(C14)</f>
        <v>1.18024387047418</v>
      </c>
      <c r="E14" s="24">
        <f>(D14-Spot)*10000</f>
        <v>152.438704741777</v>
      </c>
      <c r="F14" s="26">
        <f>FX_DFDOM(C14)</f>
        <v>0.967054911231403</v>
      </c>
      <c r="G14" s="26">
        <f>FX_DFFOR(C14)</f>
        <v>0.979708696474518</v>
      </c>
      <c r="H14" s="27">
        <f>-LN(F14)/C14</f>
        <v>0.0335000000000001</v>
      </c>
      <c r="I14" s="27">
        <f>-LN(G14)/C14</f>
        <v>0.0205</v>
      </c>
      <c r="J14" s="25">
        <f>D14-Phi*MarginBp/10000*AvgFwd</f>
        <v>1.18024387047418</v>
      </c>
      <c r="K14" s="28">
        <f>B14*Phi*Notional*F14*(D14/J14-1)/Spot</f>
        <v>0</v>
      </c>
      <c r="L14" s="27">
        <f>FX_VOL(Protect,C14)</f>
        <v>0.0803411567198347</v>
      </c>
      <c r="M14" s="25">
        <f>(LN(Spot/Protect)+(H14-I14+L14^2/2)*C14)/(L14*SQRT(C14))</f>
        <v>0.0427427163341219</v>
      </c>
      <c r="N14" s="25">
        <f>M14-L14*SQRT(C14)</f>
        <v>-0.0375984403857128</v>
      </c>
      <c r="O14" s="26">
        <f>IF(Phi=1,Spot*G14*NORMSDIST(M14)-Protect*F14*NORMSDIST(N14),Protect*F14*NORMSDIST(-N14)-Spot*G14*NORMSDIST(-M14))</f>
        <v>0.0366867265857349</v>
      </c>
      <c r="P14" s="28">
        <f>B14*Notional/Protect*O14/Spot</f>
        <v>26687.0783339892</v>
      </c>
      <c r="Q14" s="27">
        <f>FX_VOL(Giveup,C14)</f>
        <v>0.0800243988334716</v>
      </c>
      <c r="R14" s="25">
        <f>(LN(Spot/Giveup)+(H14-I14+Q14^2/2)*C14)/(Q14*SQRT(C14))</f>
        <v>0.160828071098594</v>
      </c>
      <c r="S14" s="25">
        <f>R14-Q14*SQRT(C14)</f>
        <v>0.0808036722651229</v>
      </c>
      <c r="T14" s="26">
        <f>IF(Phi=-1,Spot*G14*NORMSDIST(R14)-Giveup*F14*NORMSDIST(S14),Giveup*F14*NORMSDIST(-S14)-Spot*G14*NORMSDIST(-R14))</f>
        <v>0.0310263439053667</v>
      </c>
      <c r="U14" s="28">
        <f>B14*Notional/Giveup*T14/Spot</f>
        <v>22784.0946732211</v>
      </c>
      <c r="V14" s="27">
        <f>FX_VOL(PFStrike,C14)</f>
        <v>0.0809007602450823</v>
      </c>
      <c r="W14" s="25">
        <f>(LN(Spot/PFStrike)+(H14-I14+V14^2/2)*C14)/(V14*SQRT(C14))</f>
        <v>-0.0881907363790027</v>
      </c>
      <c r="X14" s="25">
        <f>W14-V14*SQRT(C14)</f>
        <v>-0.169091496624085</v>
      </c>
      <c r="Y14" s="26">
        <f>IF(Phi=1,Spot*G14*NORMSDIST(W14)-PFStrike*F14*NORMSDIST(X14),PFStrike*F14*NORMSDIST(-X14)-Spot*G14*NORMSDIST(-W14))</f>
        <v>0.0313552434657662</v>
      </c>
      <c r="Z14" s="26">
        <f>IF(Phi=-1,Spot*G14*NORMSDIST(W14)-PFStrike*F14*NORMSDIST(X14),PFStrike*F14*NORMSDIST(-X14)-Spot*G14*NORMSDIST(-W14))</f>
        <v>0.0432955957133228</v>
      </c>
      <c r="AA14" s="28">
        <f>B14*Notional/PFStrike*(Y14-(1-Participation)*Z14)/Spot</f>
        <v>6986.94803020263</v>
      </c>
    </row>
    <row r="15" spans="1:27">
      <c r="A15" s="24">
        <f>ROW()-2</f>
        <v>13</v>
      </c>
      <c r="B15" s="24">
        <f>IF(A15&lt;=NMonths,1,0)</f>
        <v>0</v>
      </c>
      <c r="C15" s="25">
        <f>A15/12</f>
        <v>1.08333333333333</v>
      </c>
      <c r="D15" s="25">
        <f>FX_FORWARD(C15)</f>
        <v>1.18120320829715</v>
      </c>
      <c r="E15" s="24">
        <f>(D15-Spot)*10000</f>
        <v>162.032082971524</v>
      </c>
      <c r="F15" s="26">
        <f>FX_DFDOM(C15)</f>
        <v>0.964533117182641</v>
      </c>
      <c r="G15" s="26">
        <f>FX_DFFOR(C15)</f>
        <v>0.977948165257501</v>
      </c>
      <c r="H15" s="27">
        <f>-LN(F15)/C15</f>
        <v>0.0333333333333333</v>
      </c>
      <c r="I15" s="27">
        <f>-LN(G15)/C15</f>
        <v>0.0205833333333333</v>
      </c>
      <c r="J15" s="25">
        <f>D15-Phi*MarginBp/10000*AvgFwd</f>
        <v>1.18120320829715</v>
      </c>
      <c r="K15" s="28">
        <f>B15*Phi*Notional*F15*(D15/J15-1)/Spot</f>
        <v>0</v>
      </c>
      <c r="L15" s="27">
        <f>FX_VOL(Protect,C15)</f>
        <v>0.0806517208673711</v>
      </c>
      <c r="M15" s="25">
        <f>(LN(Spot/Protect)+(H15-I15+L15^2/2)*C15)/(L15*SQRT(C15))</f>
        <v>0.0541131602135344</v>
      </c>
      <c r="N15" s="25">
        <f>M15-L15*SQRT(C15)</f>
        <v>-0.0298318123504854</v>
      </c>
      <c r="O15" s="26">
        <f>IF(Phi=1,Spot*G15*NORMSDIST(M15)-Protect*F15*NORMSDIST(N15),Protect*F15*NORMSDIST(-N15)-Spot*G15*NORMSDIST(-M15))</f>
        <v>0.0387070144194136</v>
      </c>
      <c r="P15" s="28">
        <f>B15*Notional/Protect*O15/Spot</f>
        <v>0</v>
      </c>
      <c r="Q15" s="27">
        <f>FX_VOL(Giveup,C15)</f>
        <v>0.0803635039380337</v>
      </c>
      <c r="R15" s="25">
        <f>(LN(Spot/Giveup)+(H15-I15+Q15^2/2)*C15)/(Q15*SQRT(C15))</f>
        <v>0.167122501156094</v>
      </c>
      <c r="S15" s="25">
        <f>R15-Q15*SQRT(C15)</f>
        <v>0.08347751428321</v>
      </c>
      <c r="T15" s="26">
        <f>IF(Phi=-1,Spot*G15*NORMSDIST(R15)-Giveup*F15*NORMSDIST(S15),Giveup*F15*NORMSDIST(-S15)-Spot*G15*NORMSDIST(-R15))</f>
        <v>0.0321660312794657</v>
      </c>
      <c r="U15" s="28">
        <f>B15*Notional/Giveup*T15/Spot</f>
        <v>0</v>
      </c>
      <c r="V15" s="27">
        <f>FX_VOL(PFStrike,C15)</f>
        <v>0.0811657316148254</v>
      </c>
      <c r="W15" s="25">
        <f>(LN(Spot/PFStrike)+(H15-I15+V15^2/2)*C15)/(V15*SQRT(C15))</f>
        <v>-0.0713332540270386</v>
      </c>
      <c r="X15" s="25">
        <f>W15-V15*SQRT(C15)</f>
        <v>-0.155813225939226</v>
      </c>
      <c r="Y15" s="26">
        <f>IF(Phi=1,Spot*G15*NORMSDIST(W15)-PFStrike*F15*NORMSDIST(X15),PFStrike*F15*NORMSDIST(-X15)-Spot*G15*NORMSDIST(-W15))</f>
        <v>0.0333277516261388</v>
      </c>
      <c r="Z15" s="26">
        <f>IF(Phi=-1,Spot*G15*NORMSDIST(W15)-PFStrike*F15*NORMSDIST(X15),PFStrike*F15*NORMSDIST(-X15)-Spot*G15*NORMSDIST(-W15))</f>
        <v>0.0443116538551127</v>
      </c>
      <c r="AA15" s="28">
        <f>B15*Notional/PFStrike*(Y15-(1-Participation)*Z15)/Spot</f>
        <v>0</v>
      </c>
    </row>
    <row r="16" spans="1:27">
      <c r="A16" s="24">
        <f>ROW()-2</f>
        <v>14</v>
      </c>
      <c r="B16" s="24">
        <f>IF(A16&lt;=NMonths,1,0)</f>
        <v>0</v>
      </c>
      <c r="C16" s="25">
        <f>A16/12</f>
        <v>1.16666666666667</v>
      </c>
      <c r="D16" s="25">
        <f>FX_FORWARD(C16)</f>
        <v>1.18211407011977</v>
      </c>
      <c r="E16" s="24">
        <f>(D16-Spot)*10000</f>
        <v>171.140701197741</v>
      </c>
      <c r="F16" s="26">
        <f>FX_DFDOM(C16)</f>
        <v>0.962044622319721</v>
      </c>
      <c r="G16" s="26">
        <f>FX_DFFOR(C16)</f>
        <v>0.976177239594168</v>
      </c>
      <c r="H16" s="27">
        <f>-LN(F16)/C16</f>
        <v>0.0331666666666666</v>
      </c>
      <c r="I16" s="27">
        <f>-LN(G16)/C16</f>
        <v>0.0206666666666667</v>
      </c>
      <c r="J16" s="25">
        <f>D16-Phi*MarginBp/10000*AvgFwd</f>
        <v>1.18211407011977</v>
      </c>
      <c r="K16" s="28">
        <f>B16*Phi*Notional*F16*(D16/J16-1)/Spot</f>
        <v>0</v>
      </c>
      <c r="L16" s="27">
        <f>FX_VOL(Protect,C16)</f>
        <v>0.0809172705201883</v>
      </c>
      <c r="M16" s="25">
        <f>(LN(Spot/Protect)+(H16-I16+L16^2/2)*C16)/(L16*SQRT(C16))</f>
        <v>0.064180512197754</v>
      </c>
      <c r="N16" s="25">
        <f>M16-L16*SQRT(C16)</f>
        <v>-0.0232201291796232</v>
      </c>
      <c r="O16" s="26">
        <f>IF(Phi=1,Spot*G16*NORMSDIST(M16)-Protect*F16*NORMSDIST(N16),Protect*F16*NORMSDIST(-N16)-Spot*G16*NORMSDIST(-M16))</f>
        <v>0.0406304471619906</v>
      </c>
      <c r="P16" s="28">
        <f>B16*Notional/Protect*O16/Spot</f>
        <v>0</v>
      </c>
      <c r="Q16" s="27">
        <f>FX_VOL(Giveup,C16)</f>
        <v>0.0806536769529668</v>
      </c>
      <c r="R16" s="25">
        <f>(LN(Spot/Giveup)+(H16-I16+Q16^2/2)*C16)/(Q16*SQRT(C16))</f>
        <v>0.172714033515623</v>
      </c>
      <c r="S16" s="25">
        <f>R16-Q16*SQRT(C16)</f>
        <v>0.0855981057314009</v>
      </c>
      <c r="T16" s="26">
        <f>IF(Phi=-1,Spot*G16*NORMSDIST(R16)-Giveup*F16*NORMSDIST(S16),Giveup*F16*NORMSDIST(-S16)-Spot*G16*NORMSDIST(-R16))</f>
        <v>0.0332555980653753</v>
      </c>
      <c r="U16" s="28">
        <f>B16*Notional/Giveup*T16/Spot</f>
        <v>0</v>
      </c>
      <c r="V16" s="27">
        <f>FX_VOL(PFStrike,C16)</f>
        <v>0.0813919662561682</v>
      </c>
      <c r="W16" s="25">
        <f>(LN(Spot/PFStrike)+(H16-I16+V16^2/2)*C16)/(V16*SQRT(C16))</f>
        <v>-0.0564129242211554</v>
      </c>
      <c r="X16" s="25">
        <f>W16-V16*SQRT(C16)</f>
        <v>-0.144326295594454</v>
      </c>
      <c r="Y16" s="26">
        <f>IF(Phi=1,Spot*G16*NORMSDIST(W16)-PFStrike*F16*NORMSDIST(X16),PFStrike*F16*NORMSDIST(-X16)-Spot*G16*NORMSDIST(-W16))</f>
        <v>0.0352115675801347</v>
      </c>
      <c r="Z16" s="26">
        <f>IF(Phi=-1,Spot*G16*NORMSDIST(W16)-PFStrike*F16*NORMSDIST(X16),PFStrike*F16*NORMSDIST(-X16)-Spot*G16*NORMSDIST(-W16))</f>
        <v>0.0452908416298267</v>
      </c>
      <c r="AA16" s="28">
        <f>B16*Notional/PFStrike*(Y16-(1-Participation)*Z16)/Spot</f>
        <v>0</v>
      </c>
    </row>
    <row r="17" spans="1:27">
      <c r="A17" s="24">
        <f>ROW()-2</f>
        <v>15</v>
      </c>
      <c r="B17" s="24">
        <f>IF(A17&lt;=NMonths,1,0)</f>
        <v>0</v>
      </c>
      <c r="C17" s="25">
        <f>A17/12</f>
        <v>1.25</v>
      </c>
      <c r="D17" s="25">
        <f>FX_FORWARD(C17)</f>
        <v>1.18297634262788</v>
      </c>
      <c r="E17" s="24">
        <f>(D17-Spot)*10000</f>
        <v>179.763426278836</v>
      </c>
      <c r="F17" s="26">
        <f>FX_DFDOM(C17)</f>
        <v>0.959589202657473</v>
      </c>
      <c r="G17" s="26">
        <f>FX_DFFOR(C17)</f>
        <v>0.974395987454888</v>
      </c>
      <c r="H17" s="27">
        <f>-LN(F17)/C17</f>
        <v>0.033</v>
      </c>
      <c r="I17" s="27">
        <f>-LN(G17)/C17</f>
        <v>0.02075</v>
      </c>
      <c r="J17" s="25">
        <f>D17-Phi*MarginBp/10000*AvgFwd</f>
        <v>1.18297634262788</v>
      </c>
      <c r="K17" s="28">
        <f>B17*Phi*Notional*F17*(D17/J17-1)/Spot</f>
        <v>0</v>
      </c>
      <c r="L17" s="27">
        <f>FX_VOL(Protect,C17)</f>
        <v>0.0811471771969958</v>
      </c>
      <c r="M17" s="25">
        <f>(LN(Spot/Protect)+(H17-I17+L17^2/2)*C17)/(L17*SQRT(C17))</f>
        <v>0.0731294204461152</v>
      </c>
      <c r="N17" s="25">
        <f>M17-L17*SQRT(C17)</f>
        <v>-0.0175958817512365</v>
      </c>
      <c r="O17" s="26">
        <f>IF(Phi=1,Spot*G17*NORMSDIST(M17)-Protect*F17*NORMSDIST(N17),Protect*F17*NORMSDIST(-N17)-Spot*G17*NORMSDIST(-M17))</f>
        <v>0.0424646505225995</v>
      </c>
      <c r="P17" s="28">
        <f>B17*Notional/Protect*O17/Spot</f>
        <v>0</v>
      </c>
      <c r="Q17" s="27">
        <f>FX_VOL(Giveup,C17)</f>
        <v>0.0809050303899257</v>
      </c>
      <c r="R17" s="25">
        <f>(LN(Spot/Giveup)+(H17-I17+Q17^2/2)*C17)/(Q17*SQRT(C17))</f>
        <v>0.177677388584902</v>
      </c>
      <c r="S17" s="25">
        <f>R17-Q17*SQRT(C17)</f>
        <v>0.0872228147481223</v>
      </c>
      <c r="T17" s="26">
        <f>IF(Phi=-1,Spot*G17*NORMSDIST(R17)-Giveup*F17*NORMSDIST(S17),Giveup*F17*NORMSDIST(-S17)-Spot*G17*NORMSDIST(-R17))</f>
        <v>0.0343029390979013</v>
      </c>
      <c r="U17" s="28">
        <f>B17*Notional/Giveup*T17/Spot</f>
        <v>0</v>
      </c>
      <c r="V17" s="27">
        <f>FX_VOL(PFStrike,C17)</f>
        <v>0.0815876409415764</v>
      </c>
      <c r="W17" s="25">
        <f>(LN(Spot/PFStrike)+(H17-I17+V17^2/2)*C17)/(V17*SQRT(C17))</f>
        <v>-0.0431311275406049</v>
      </c>
      <c r="X17" s="25">
        <f>W17-V17*SQRT(C17)</f>
        <v>-0.13434888317521</v>
      </c>
      <c r="Y17" s="26">
        <f>IF(Phi=1,Spot*G17*NORMSDIST(W17)-PFStrike*F17*NORMSDIST(X17),PFStrike*F17*NORMSDIST(-X17)-Spot*G17*NORMSDIST(-W17))</f>
        <v>0.0370130588568201</v>
      </c>
      <c r="Z17" s="26">
        <f>IF(Phi=-1,Spot*G17*NORMSDIST(W17)-PFStrike*F17*NORMSDIST(X17),PFStrike*F17*NORMSDIST(-X17)-Spot*G17*NORMSDIST(-W17))</f>
        <v>0.0462391802583538</v>
      </c>
      <c r="AA17" s="28">
        <f>B17*Notional/PFStrike*(Y17-(1-Participation)*Z17)/Spot</f>
        <v>0</v>
      </c>
    </row>
    <row r="18" spans="1:27">
      <c r="A18" s="24">
        <f>ROW()-2</f>
        <v>16</v>
      </c>
      <c r="B18" s="24">
        <f>IF(A18&lt;=NMonths,1,0)</f>
        <v>0</v>
      </c>
      <c r="C18" s="25">
        <f>A18/12</f>
        <v>1.33333333333333</v>
      </c>
      <c r="D18" s="25">
        <f>FX_FORWARD(C18)</f>
        <v>1.1837899184981</v>
      </c>
      <c r="E18" s="24">
        <f>(D18-Spot)*10000</f>
        <v>187.899184981004</v>
      </c>
      <c r="F18" s="26">
        <f>FX_DFDOM(C18)</f>
        <v>0.957166637538284</v>
      </c>
      <c r="G18" s="26">
        <f>FX_DFFOR(C18)</f>
        <v>0.972604477116348</v>
      </c>
      <c r="H18" s="27">
        <f>-LN(F18)/C18</f>
        <v>0.0328333333333334</v>
      </c>
      <c r="I18" s="27">
        <f>-LN(G18)/C18</f>
        <v>0.0208333333333334</v>
      </c>
      <c r="J18" s="25">
        <f>D18-Phi*MarginBp/10000*AvgFwd</f>
        <v>1.1837899184981</v>
      </c>
      <c r="K18" s="28">
        <f>B18*Phi*Notional*F18*(D18/J18-1)/Spot</f>
        <v>0</v>
      </c>
      <c r="L18" s="27">
        <f>FX_VOL(Protect,C18)</f>
        <v>0.0813483928316989</v>
      </c>
      <c r="M18" s="25">
        <f>(LN(Spot/Protect)+(H18-I18+L18^2/2)*C18)/(L18*SQRT(C18))</f>
        <v>0.0811041189776961</v>
      </c>
      <c r="N18" s="25">
        <f>M18-L18*SQRT(C18)</f>
        <v>-0.0128289140213534</v>
      </c>
      <c r="O18" s="26">
        <f>IF(Phi=1,Spot*G18*NORMSDIST(M18)-Protect*F18*NORMSDIST(N18),Protect*F18*NORMSDIST(-N18)-Spot*G18*NORMSDIST(-M18))</f>
        <v>0.0442159513940948</v>
      </c>
      <c r="P18" s="28">
        <f>B18*Notional/Protect*O18/Spot</f>
        <v>0</v>
      </c>
      <c r="Q18" s="27">
        <f>FX_VOL(Giveup,C18)</f>
        <v>0.081125072291656</v>
      </c>
      <c r="R18" s="25">
        <f>(LN(Spot/Giveup)+(H18-I18+Q18^2/2)*C18)/(Q18*SQRT(C18))</f>
        <v>0.182073186640254</v>
      </c>
      <c r="S18" s="25">
        <f>R18-Q18*SQRT(C18)</f>
        <v>0.0883980219890231</v>
      </c>
      <c r="T18" s="26">
        <f>IF(Phi=-1,Spot*G18*NORMSDIST(R18)-Giveup*F18*NORMSDIST(S18),Giveup*F18*NORMSDIST(-S18)-Spot*G18*NORMSDIST(-R18))</f>
        <v>0.0353145216672155</v>
      </c>
      <c r="U18" s="28">
        <f>B18*Notional/Giveup*T18/Spot</f>
        <v>0</v>
      </c>
      <c r="V18" s="27">
        <f>FX_VOL(PFStrike,C18)</f>
        <v>0.0817588083604783</v>
      </c>
      <c r="W18" s="25">
        <f>(LN(Spot/PFStrike)+(H18-I18+V18^2/2)*C18)/(V18*SQRT(C18))</f>
        <v>-0.0312564834721101</v>
      </c>
      <c r="X18" s="25">
        <f>W18-V18*SQRT(C18)</f>
        <v>-0.1256634235032</v>
      </c>
      <c r="Y18" s="26">
        <f>IF(Phi=1,Spot*G18*NORMSDIST(W18)-PFStrike*F18*NORMSDIST(X18),PFStrike*F18*NORMSDIST(-X18)-Spot*G18*NORMSDIST(-W18))</f>
        <v>0.0387375728139381</v>
      </c>
      <c r="Z18" s="26">
        <f>IF(Phi=-1,Spot*G18*NORMSDIST(W18)-PFStrike*F18*NORMSDIST(X18),PFStrike*F18*NORMSDIST(-X18)-Spot*G18*NORMSDIST(-W18))</f>
        <v>0.0471616744018115</v>
      </c>
      <c r="AA18" s="28">
        <f>B18*Notional/PFStrike*(Y18-(1-Participation)*Z18)/Spot</f>
        <v>0</v>
      </c>
    </row>
    <row r="19" spans="1:27">
      <c r="A19" s="24">
        <f>ROW()-2</f>
        <v>17</v>
      </c>
      <c r="B19" s="24">
        <f>IF(A19&lt;=NMonths,1,0)</f>
        <v>0</v>
      </c>
      <c r="C19" s="25">
        <f>A19/12</f>
        <v>1.41666666666667</v>
      </c>
      <c r="D19" s="25">
        <f>FX_FORWARD(C19)</f>
        <v>1.18455469642009</v>
      </c>
      <c r="E19" s="24">
        <f>(D19-Spot)*10000</f>
        <v>195.546964200855</v>
      </c>
      <c r="F19" s="26">
        <f>FX_DFDOM(C19)</f>
        <v>0.954776709599116</v>
      </c>
      <c r="G19" s="26">
        <f>FX_DFFOR(C19)</f>
        <v>0.970802777157209</v>
      </c>
      <c r="H19" s="27">
        <f>-LN(F19)/C19</f>
        <v>0.0326666666666667</v>
      </c>
      <c r="I19" s="27">
        <f>-LN(G19)/C19</f>
        <v>0.0209166666666666</v>
      </c>
      <c r="J19" s="25">
        <f>D19-Phi*MarginBp/10000*AvgFwd</f>
        <v>1.18455469642009</v>
      </c>
      <c r="K19" s="28">
        <f>B19*Phi*Notional*F19*(D19/J19-1)/Spot</f>
        <v>0</v>
      </c>
      <c r="L19" s="27">
        <f>FX_VOL(Protect,C19)</f>
        <v>0.0815261799417007</v>
      </c>
      <c r="M19" s="25">
        <f>(LN(Spot/Protect)+(H19-I19+L19^2/2)*C19)/(L19*SQRT(C19))</f>
        <v>0.0882195336818183</v>
      </c>
      <c r="N19" s="25">
        <f>M19-L19*SQRT(C19)</f>
        <v>-0.00881602950254191</v>
      </c>
      <c r="O19" s="26">
        <f>IF(Phi=1,Spot*G19*NORMSDIST(M19)-Protect*F19*NORMSDIST(N19),Protect*F19*NORMSDIST(-N19)-Spot*G19*NORMSDIST(-M19))</f>
        <v>0.0458896775976148</v>
      </c>
      <c r="P19" s="28">
        <f>B19*Notional/Protect*O19/Spot</f>
        <v>0</v>
      </c>
      <c r="Q19" s="27">
        <f>FX_VOL(Giveup,C19)</f>
        <v>0.0813194914719923</v>
      </c>
      <c r="R19" s="25">
        <f>(LN(Spot/Giveup)+(H19-I19+Q19^2/2)*C19)/(Q19*SQRT(C19))</f>
        <v>0.185951468003148</v>
      </c>
      <c r="S19" s="25">
        <f>R19-Q19*SQRT(C19)</f>
        <v>0.089161913304359</v>
      </c>
      <c r="T19" s="26">
        <f>IF(Phi=-1,Spot*G19*NORMSDIST(R19)-Giveup*F19*NORMSDIST(S19),Giveup*F19*NORMSDIST(-S19)-Spot*G19*NORMSDIST(-R19))</f>
        <v>0.0362957214659985</v>
      </c>
      <c r="U19" s="28">
        <f>B19*Notional/Giveup*T19/Spot</f>
        <v>0</v>
      </c>
      <c r="V19" s="27">
        <f>FX_VOL(PFStrike,C19)</f>
        <v>0.0819100403592492</v>
      </c>
      <c r="W19" s="25">
        <f>(LN(Spot/PFStrike)+(H19-I19+V19^2/2)*C19)/(V19*SQRT(C19))</f>
        <v>-0.0206061296839892</v>
      </c>
      <c r="X19" s="25">
        <f>W19-V19*SQRT(C19)</f>
        <v>-0.118098578151428</v>
      </c>
      <c r="Y19" s="26">
        <f>IF(Phi=1,Spot*G19*NORMSDIST(W19)-PFStrike*F19*NORMSDIST(X19),PFStrike*F19*NORMSDIST(-X19)-Spot*G19*NORMSDIST(-W19))</f>
        <v>0.0403896598833526</v>
      </c>
      <c r="Z19" s="26">
        <f>IF(Phi=-1,Spot*G19*NORMSDIST(W19)-PFStrike*F19*NORMSDIST(X19),PFStrike*F19*NORMSDIST(-X19)-Spot*G19*NORMSDIST(-W19))</f>
        <v>0.0480625353727229</v>
      </c>
      <c r="AA19" s="28">
        <f>B19*Notional/PFStrike*(Y19-(1-Participation)*Z19)/Spot</f>
        <v>0</v>
      </c>
    </row>
    <row r="20" spans="1:27">
      <c r="A20" s="24">
        <f>ROW()-2</f>
        <v>18</v>
      </c>
      <c r="B20" s="24">
        <f>IF(A20&lt;=NMonths,1,0)</f>
        <v>0</v>
      </c>
      <c r="C20" s="25">
        <f>A20/12</f>
        <v>1.5</v>
      </c>
      <c r="D20" s="25">
        <f>FX_FORWARD(C20)</f>
        <v>1.18527058111757</v>
      </c>
      <c r="E20" s="24">
        <f>(D20-Spot)*10000</f>
        <v>202.705811175656</v>
      </c>
      <c r="F20" s="26">
        <f>FX_DFDOM(C20)</f>
        <v>0.95241920473907</v>
      </c>
      <c r="G20" s="26">
        <f>FX_DFFOR(C20)</f>
        <v>0.96899095645374</v>
      </c>
      <c r="H20" s="27">
        <f>-LN(F20)/C20</f>
        <v>0.0325</v>
      </c>
      <c r="I20" s="27">
        <f>-LN(G20)/C20</f>
        <v>0.021</v>
      </c>
      <c r="J20" s="25">
        <f>D20-Phi*MarginBp/10000*AvgFwd</f>
        <v>1.18527058111757</v>
      </c>
      <c r="K20" s="28">
        <f>B20*Phi*Notional*F20*(D20/J20-1)/Spot</f>
        <v>0</v>
      </c>
      <c r="L20" s="27">
        <f>FX_VOL(Protect,C20)</f>
        <v>0.0816845930035792</v>
      </c>
      <c r="M20" s="25">
        <f>(LN(Spot/Protect)+(H20-I20+L20^2/2)*C20)/(L20*SQRT(C20))</f>
        <v>0.0945688183588054</v>
      </c>
      <c r="N20" s="25">
        <f>M20-L20*SQRT(C20)</f>
        <v>-0.00547396799403756</v>
      </c>
      <c r="O20" s="26">
        <f>IF(Phi=1,Spot*G20*NORMSDIST(M20)-Protect*F20*NORMSDIST(N20),Protect*F20*NORMSDIST(-N20)-Spot*G20*NORMSDIST(-M20))</f>
        <v>0.0474903746345811</v>
      </c>
      <c r="P20" s="28">
        <f>B20*Notional/Protect*O20/Spot</f>
        <v>0</v>
      </c>
      <c r="Q20" s="27">
        <f>FX_VOL(Giveup,C20)</f>
        <v>0.0814926752137542</v>
      </c>
      <c r="R20" s="25">
        <f>(LN(Spot/Giveup)+(H20-I20+Q20^2/2)*C20)/(Q20*SQRT(C20))</f>
        <v>0.189354155688432</v>
      </c>
      <c r="S20" s="25">
        <f>R20-Q20*SQRT(C20)</f>
        <v>0.0895464196644058</v>
      </c>
      <c r="T20" s="26">
        <f>IF(Phi=-1,Spot*G20*NORMSDIST(R20)-Giveup*F20*NORMSDIST(S20),Giveup*F20*NORMSDIST(-S20)-Spot*G20*NORMSDIST(-R20))</f>
        <v>0.03725106387743</v>
      </c>
      <c r="U20" s="28">
        <f>B20*Notional/Giveup*T20/Spot</f>
        <v>0</v>
      </c>
      <c r="V20" s="27">
        <f>FX_VOL(PFStrike,C20)</f>
        <v>0.0820448515473017</v>
      </c>
      <c r="W20" s="25">
        <f>(LN(Spot/PFStrike)+(H20-I20+V20^2/2)*C20)/(V20*SQRT(C20))</f>
        <v>-0.0110330575175676</v>
      </c>
      <c r="X20" s="25">
        <f>W20-V20*SQRT(C20)</f>
        <v>-0.11151706867421</v>
      </c>
      <c r="Y20" s="26">
        <f>IF(Phi=1,Spot*G20*NORMSDIST(W20)-PFStrike*F20*NORMSDIST(X20),PFStrike*F20*NORMSDIST(-X20)-Spot*G20*NORMSDIST(-W20))</f>
        <v>0.041973238279243</v>
      </c>
      <c r="Z20" s="26">
        <f>IF(Phi=-1,Spot*G20*NORMSDIST(W20)-PFStrike*F20*NORMSDIST(X20),PFStrike*F20*NORMSDIST(-X20)-Spot*G20*NORMSDIST(-W20))</f>
        <v>0.048945345809608</v>
      </c>
      <c r="AA20" s="28">
        <f>B20*Notional/PFStrike*(Y20-(1-Participation)*Z20)/Spot</f>
        <v>0</v>
      </c>
    </row>
    <row r="21" spans="1:27">
      <c r="A21" s="24">
        <f>ROW()-2</f>
        <v>19</v>
      </c>
      <c r="B21" s="24">
        <f>IF(A21&lt;=NMonths,1,0)</f>
        <v>0</v>
      </c>
      <c r="C21" s="25">
        <f>A21/12</f>
        <v>1.58333333333333</v>
      </c>
      <c r="D21" s="25">
        <f>FX_FORWARD(C21)</f>
        <v>1.18609397155415</v>
      </c>
      <c r="E21" s="24">
        <f>(D21-Spot)*10000</f>
        <v>210.939715541534</v>
      </c>
      <c r="F21" s="26">
        <f>FX_DFDOM(C21)</f>
        <v>0.949968560743965</v>
      </c>
      <c r="G21" s="26">
        <f>FX_DFFOR(C21)</f>
        <v>0.967169084175444</v>
      </c>
      <c r="H21" s="27">
        <f>-LN(F21)/C21</f>
        <v>0.0324166666666667</v>
      </c>
      <c r="I21" s="27">
        <f>-LN(G21)/C21</f>
        <v>0.0210833333333333</v>
      </c>
      <c r="J21" s="25">
        <f>D21-Phi*MarginBp/10000*AvgFwd</f>
        <v>1.18609397155415</v>
      </c>
      <c r="K21" s="28">
        <f>B21*Phi*Notional*F21*(D21/J21-1)/Spot</f>
        <v>0</v>
      </c>
      <c r="L21" s="27">
        <f>FX_VOL(Protect,C21)</f>
        <v>0.0818783027160211</v>
      </c>
      <c r="M21" s="25">
        <f>(LN(Spot/Protect)+(H21-I21+L21^2/2)*C21)/(L21*SQRT(C21))</f>
        <v>0.101511019167845</v>
      </c>
      <c r="N21" s="25">
        <f>M21-L21*SQRT(C21)</f>
        <v>-0.00151691905664479</v>
      </c>
      <c r="O21" s="26">
        <f>IF(Phi=1,Spot*G21*NORMSDIST(M21)-Protect*F21*NORMSDIST(N21),Protect*F21*NORMSDIST(-N21)-Spot*G21*NORMSDIST(-M21))</f>
        <v>0.0491247783060118</v>
      </c>
      <c r="P21" s="28">
        <f>B21*Notional/Protect*O21/Spot</f>
        <v>0</v>
      </c>
      <c r="Q21" s="27">
        <f>FX_VOL(Giveup,C21)</f>
        <v>0.081700136149347</v>
      </c>
      <c r="R21" s="25">
        <f>(LN(Spot/Giveup)+(H21-I21+Q21^2/2)*C21)/(Q21*SQRT(C21))</f>
        <v>0.193543206674878</v>
      </c>
      <c r="S21" s="25">
        <f>R21-Q21*SQRT(C21)</f>
        <v>0.0907394564637698</v>
      </c>
      <c r="T21" s="26">
        <f>IF(Phi=-1,Spot*G21*NORMSDIST(R21)-Giveup*F21*NORMSDIST(S21),Giveup*F21*NORMSDIST(-S21)-Spot*G21*NORMSDIST(-R21))</f>
        <v>0.0381453155896369</v>
      </c>
      <c r="U21" s="28">
        <f>B21*Notional/Giveup*T21/Spot</f>
        <v>0</v>
      </c>
      <c r="V21" s="27">
        <f>FX_VOL(PFStrike,C21)</f>
        <v>0.082215844647111</v>
      </c>
      <c r="W21" s="25">
        <f>(LN(Spot/PFStrike)+(H21-I21+V21^2/2)*C21)/(V21*SQRT(C21))</f>
        <v>-0.0010777131283859</v>
      </c>
      <c r="X21" s="25">
        <f>W21-V21*SQRT(C21)</f>
        <v>-0.104530382301991</v>
      </c>
      <c r="Y21" s="26">
        <f>IF(Phi=1,Spot*G21*NORMSDIST(W21)-PFStrike*F21*NORMSDIST(X21),PFStrike*F21*NORMSDIST(-X21)-Spot*G21*NORMSDIST(-W21))</f>
        <v>0.0435884046769022</v>
      </c>
      <c r="Z21" s="26">
        <f>IF(Phi=-1,Spot*G21*NORMSDIST(W21)-PFStrike*F21*NORMSDIST(X21),PFStrike*F21*NORMSDIST(-X21)-Spot*G21*NORMSDIST(-W21))</f>
        <v>0.0497603774387156</v>
      </c>
      <c r="AA21" s="28">
        <f>B21*Notional/PFStrike*(Y21-(1-Participation)*Z21)/Spot</f>
        <v>0</v>
      </c>
    </row>
    <row r="22" spans="1:27">
      <c r="A22" s="24">
        <f>ROW()-2</f>
        <v>20</v>
      </c>
      <c r="B22" s="24">
        <f>IF(A22&lt;=NMonths,1,0)</f>
        <v>0</v>
      </c>
      <c r="C22" s="25">
        <f>A22/12</f>
        <v>1.66666666666667</v>
      </c>
      <c r="D22" s="25">
        <f>FX_FORWARD(C22)</f>
        <v>1.18688496450354</v>
      </c>
      <c r="E22" s="24">
        <f>(D22-Spot)*10000</f>
        <v>218.849645035428</v>
      </c>
      <c r="F22" s="26">
        <f>FX_DFDOM(C22)</f>
        <v>0.947537382584417</v>
      </c>
      <c r="G22" s="26">
        <f>FX_DFFOR(C22)</f>
        <v>0.965337229780675</v>
      </c>
      <c r="H22" s="27">
        <f>-LN(F22)/C22</f>
        <v>0.0323333333333333</v>
      </c>
      <c r="I22" s="27">
        <f>-LN(G22)/C22</f>
        <v>0.0211666666666667</v>
      </c>
      <c r="J22" s="25">
        <f>D22-Phi*MarginBp/10000*AvgFwd</f>
        <v>1.18688496450354</v>
      </c>
      <c r="K22" s="28">
        <f>B22*Phi*Notional*F22*(D22/J22-1)/Spot</f>
        <v>0</v>
      </c>
      <c r="L22" s="27">
        <f>FX_VOL(Protect,C22)</f>
        <v>0.0820525884546896</v>
      </c>
      <c r="M22" s="25">
        <f>(LN(Spot/Protect)+(H22-I22+L22^2/2)*C22)/(L22*SQRT(C22))</f>
        <v>0.107885803870895</v>
      </c>
      <c r="N22" s="25">
        <f>M22-L22*SQRT(C22)</f>
        <v>0.00195636767148744</v>
      </c>
      <c r="O22" s="26">
        <f>IF(Phi=1,Spot*G22*NORMSDIST(M22)-Protect*F22*NORMSDIST(N22),Protect*F22*NORMSDIST(-N22)-Spot*G22*NORMSDIST(-M22))</f>
        <v>0.0506992870586714</v>
      </c>
      <c r="P22" s="28">
        <f>B22*Notional/Protect*O22/Spot</f>
        <v>0</v>
      </c>
      <c r="Q22" s="27">
        <f>FX_VOL(Giveup,C22)</f>
        <v>0.081886773024202</v>
      </c>
      <c r="R22" s="25">
        <f>(LN(Spot/Giveup)+(H22-I22+Q22^2/2)*C22)/(Q22*SQRT(C22))</f>
        <v>0.197390392657156</v>
      </c>
      <c r="S22" s="25">
        <f>R22-Q22*SQRT(C22)</f>
        <v>0.091675023258022</v>
      </c>
      <c r="T22" s="26">
        <f>IF(Phi=-1,Spot*G22*NORMSDIST(R22)-Giveup*F22*NORMSDIST(S22),Giveup*F22*NORMSDIST(-S22)-Spot*G22*NORMSDIST(-R22))</f>
        <v>0.0390121953471223</v>
      </c>
      <c r="U22" s="28">
        <f>B22*Notional/Giveup*T22/Spot</f>
        <v>0</v>
      </c>
      <c r="V22" s="27">
        <f>FX_VOL(PFStrike,C22)</f>
        <v>0.0823697237263945</v>
      </c>
      <c r="W22" s="25">
        <f>(LN(Spot/PFStrike)+(H22-I22+V22^2/2)*C22)/(V22*SQRT(C22))</f>
        <v>0.00806782369741596</v>
      </c>
      <c r="X22" s="25">
        <f>W22-V22*SQRT(C22)</f>
        <v>-0.0982710323772613</v>
      </c>
      <c r="Y22" s="26">
        <f>IF(Phi=1,Spot*G22*NORMSDIST(W22)-PFStrike*F22*NORMSDIST(X22),PFStrike*F22*NORMSDIST(-X22)-Spot*G22*NORMSDIST(-W22))</f>
        <v>0.045147121441612</v>
      </c>
      <c r="Z22" s="26">
        <f>IF(Phi=-1,Spot*G22*NORMSDIST(W22)-PFStrike*F22*NORMSDIST(X22),PFStrike*F22*NORMSDIST(-X22)-Spot*G22*NORMSDIST(-W22))</f>
        <v>0.0505538033808587</v>
      </c>
      <c r="AA22" s="28">
        <f>B22*Notional/PFStrike*(Y22-(1-Participation)*Z22)/Spot</f>
        <v>0</v>
      </c>
    </row>
    <row r="23" spans="1:27">
      <c r="A23" s="24">
        <f>ROW()-2</f>
        <v>21</v>
      </c>
      <c r="B23" s="24">
        <f>IF(A23&lt;=NMonths,1,0)</f>
        <v>0</v>
      </c>
      <c r="C23" s="25">
        <f>A23/12</f>
        <v>1.75</v>
      </c>
      <c r="D23" s="25">
        <f>FX_FORWARD(C23)</f>
        <v>1.18764349440211</v>
      </c>
      <c r="E23" s="24">
        <f>(D23-Spot)*10000</f>
        <v>226.434944021141</v>
      </c>
      <c r="F23" s="26">
        <f>FX_DFDOM(C23)</f>
        <v>0.945125552996299</v>
      </c>
      <c r="G23" s="26">
        <f>FX_DFFOR(C23)</f>
        <v>0.963495463012236</v>
      </c>
      <c r="H23" s="27">
        <f>-LN(F23)/C23</f>
        <v>0.03225</v>
      </c>
      <c r="I23" s="27">
        <f>-LN(G23)/C23</f>
        <v>0.02125</v>
      </c>
      <c r="J23" s="25">
        <f>D23-Phi*MarginBp/10000*AvgFwd</f>
        <v>1.18764349440211</v>
      </c>
      <c r="K23" s="28">
        <f>B23*Phi*Notional*F23*(D23/J23-1)/Spot</f>
        <v>0</v>
      </c>
      <c r="L23" s="27">
        <f>FX_VOL(Protect,C23)</f>
        <v>0.0822103204815207</v>
      </c>
      <c r="M23" s="25">
        <f>(LN(Spot/Protect)+(H23-I23+L23^2/2)*C23)/(L23*SQRT(C23))</f>
        <v>0.113746295679625</v>
      </c>
      <c r="N23" s="25">
        <f>M23-L23*SQRT(C23)</f>
        <v>0.0049922640811131</v>
      </c>
      <c r="O23" s="26">
        <f>IF(Phi=1,Spot*G23*NORMSDIST(M23)-Protect*F23*NORMSDIST(N23),Protect*F23*NORMSDIST(-N23)-Spot*G23*NORMSDIST(-M23))</f>
        <v>0.0522170363090762</v>
      </c>
      <c r="P23" s="28">
        <f>B23*Notional/Protect*O23/Spot</f>
        <v>0</v>
      </c>
      <c r="Q23" s="27">
        <f>FX_VOL(Giveup,C23)</f>
        <v>0.0820556448133497</v>
      </c>
      <c r="R23" s="25">
        <f>(LN(Spot/Giveup)+(H23-I23+Q23^2/2)*C23)/(Q23*SQRT(C23))</f>
        <v>0.200919601975326</v>
      </c>
      <c r="S23" s="25">
        <f>R23-Q23*SQRT(C23)</f>
        <v>0.0923701870527405</v>
      </c>
      <c r="T23" s="26">
        <f>IF(Phi=-1,Spot*G23*NORMSDIST(R23)-Giveup*F23*NORMSDIST(S23),Giveup*F23*NORMSDIST(-S23)-Spot*G23*NORMSDIST(-R23))</f>
        <v>0.039854799509605</v>
      </c>
      <c r="U23" s="28">
        <f>B23*Notional/Giveup*T23/Spot</f>
        <v>0</v>
      </c>
      <c r="V23" s="27">
        <f>FX_VOL(PFStrike,C23)</f>
        <v>0.0825090418972894</v>
      </c>
      <c r="W23" s="25">
        <f>(LN(Spot/PFStrike)+(H23-I23+V23^2/2)*C23)/(V23*SQRT(C23))</f>
        <v>0.0164876157965707</v>
      </c>
      <c r="X23" s="25">
        <f>W23-V23*SQRT(C23)</f>
        <v>-0.0926615870906476</v>
      </c>
      <c r="Y23" s="26">
        <f>IF(Phi=1,Spot*G23*NORMSDIST(W23)-PFStrike*F23*NORMSDIST(X23),PFStrike*F23*NORMSDIST(-X23)-Spot*G23*NORMSDIST(-W23))</f>
        <v>0.0466521556388422</v>
      </c>
      <c r="Z23" s="26">
        <f>IF(Phi=-1,Spot*G23*NORMSDIST(W23)-PFStrike*F23*NORMSDIST(X23),PFStrike*F23*NORMSDIST(-X23)-Spot*G23*NORMSDIST(-W23))</f>
        <v>0.0513281696029961</v>
      </c>
      <c r="AA23" s="28">
        <f>B23*Notional/PFStrike*(Y23-(1-Participation)*Z23)/Spot</f>
        <v>0</v>
      </c>
    </row>
    <row r="24" spans="1:27">
      <c r="A24" s="24">
        <f>ROW()-2</f>
        <v>22</v>
      </c>
      <c r="B24" s="24">
        <f>IF(A24&lt;=NMonths,1,0)</f>
        <v>0</v>
      </c>
      <c r="C24" s="25">
        <f>A24/12</f>
        <v>1.83333333333333</v>
      </c>
      <c r="D24" s="25">
        <f>FX_FORWARD(C24)</f>
        <v>1.18836949834953</v>
      </c>
      <c r="E24" s="24">
        <f>(D24-Spot)*10000</f>
        <v>233.694983495276</v>
      </c>
      <c r="F24" s="26">
        <f>FX_DFDOM(C24)</f>
        <v>0.942732955819945</v>
      </c>
      <c r="G24" s="26">
        <f>FX_DFFOR(C24)</f>
        <v>0.961643853892975</v>
      </c>
      <c r="H24" s="27">
        <f>-LN(F24)/C24</f>
        <v>0.0321666666666667</v>
      </c>
      <c r="I24" s="27">
        <f>-LN(G24)/C24</f>
        <v>0.0213333333333333</v>
      </c>
      <c r="J24" s="25">
        <f>D24-Phi*MarginBp/10000*AvgFwd</f>
        <v>1.18836949834953</v>
      </c>
      <c r="K24" s="28">
        <f>B24*Phi*Notional*F24*(D24/J24-1)/Spot</f>
        <v>0</v>
      </c>
      <c r="L24" s="27">
        <f>FX_VOL(Protect,C24)</f>
        <v>0.0823538307691387</v>
      </c>
      <c r="M24" s="25">
        <f>(LN(Spot/Protect)+(H24-I24+L24^2/2)*C24)/(L24*SQRT(C24))</f>
        <v>0.11913745765619</v>
      </c>
      <c r="N24" s="25">
        <f>M24-L24*SQRT(C24)</f>
        <v>0.00762984366662764</v>
      </c>
      <c r="O24" s="26">
        <f>IF(Phi=1,Spot*G24*NORMSDIST(M24)-Protect*F24*NORMSDIST(N24),Protect*F24*NORMSDIST(-N24)-Spot*G24*NORMSDIST(-M24))</f>
        <v>0.0536807858076049</v>
      </c>
      <c r="P24" s="28">
        <f>B24*Notional/Protect*O24/Spot</f>
        <v>0</v>
      </c>
      <c r="Q24" s="27">
        <f>FX_VOL(Giveup,C24)</f>
        <v>0.0822092381436589</v>
      </c>
      <c r="R24" s="25">
        <f>(LN(Spot/Giveup)+(H24-I24+Q24^2/2)*C24)/(Q24*SQRT(C24))</f>
        <v>0.204151615595047</v>
      </c>
      <c r="S24" s="25">
        <f>R24-Q24*SQRT(C24)</f>
        <v>0.0928397809458889</v>
      </c>
      <c r="T24" s="26">
        <f>IF(Phi=-1,Spot*G24*NORMSDIST(R24)-Giveup*F24*NORMSDIST(S24),Giveup*F24*NORMSDIST(-S24)-Spot*G24*NORMSDIST(-R24))</f>
        <v>0.0406758226652042</v>
      </c>
      <c r="U24" s="28">
        <f>B24*Notional/Giveup*T24/Spot</f>
        <v>0</v>
      </c>
      <c r="V24" s="27">
        <f>FX_VOL(PFStrike,C24)</f>
        <v>0.0826358713746364</v>
      </c>
      <c r="W24" s="25">
        <f>(LN(Spot/PFStrike)+(H24-I24+V24^2/2)*C24)/(V24*SQRT(C24))</f>
        <v>0.0242522934243306</v>
      </c>
      <c r="X24" s="25">
        <f>W24-V24*SQRT(C24)</f>
        <v>-0.0876372053503533</v>
      </c>
      <c r="Y24" s="26">
        <f>IF(Phi=1,Spot*G24*NORMSDIST(W24)-PFStrike*F24*NORMSDIST(X24),PFStrike*F24*NORMSDIST(-X24)-Spot*G24*NORMSDIST(-W24))</f>
        <v>0.0481059567802087</v>
      </c>
      <c r="Z24" s="26">
        <f>IF(Phi=-1,Spot*G24*NORMSDIST(W24)-PFStrike*F24*NORMSDIST(X24),PFStrike*F24*NORMSDIST(-X24)-Spot*G24*NORMSDIST(-W24))</f>
        <v>0.0520857055091571</v>
      </c>
      <c r="AA24" s="28">
        <f>B24*Notional/PFStrike*(Y24-(1-Participation)*Z24)/Spot</f>
        <v>0</v>
      </c>
    </row>
    <row r="25" spans="1:27">
      <c r="A25" s="24">
        <f>ROW()-2</f>
        <v>23</v>
      </c>
      <c r="B25" s="24">
        <f>IF(A25&lt;=NMonths,1,0)</f>
        <v>0</v>
      </c>
      <c r="C25" s="25">
        <f>A25/12</f>
        <v>1.91666666666667</v>
      </c>
      <c r="D25" s="25">
        <f>FX_FORWARD(C25)</f>
        <v>1.18906291611742</v>
      </c>
      <c r="E25" s="24">
        <f>(D25-Spot)*10000</f>
        <v>240.629161174175</v>
      </c>
      <c r="F25" s="26">
        <f>FX_DFDOM(C25)</f>
        <v>0.940359475990893</v>
      </c>
      <c r="G25" s="26">
        <f>FX_DFFOR(C25)</f>
        <v>0.959782472721354</v>
      </c>
      <c r="H25" s="27">
        <f>-LN(F25)/C25</f>
        <v>0.0320833333333333</v>
      </c>
      <c r="I25" s="27">
        <f>-LN(G25)/C25</f>
        <v>0.0214166666666667</v>
      </c>
      <c r="J25" s="25">
        <f>D25-Phi*MarginBp/10000*AvgFwd</f>
        <v>1.18906291611742</v>
      </c>
      <c r="K25" s="28">
        <f>B25*Phi*Notional*F25*(D25/J25-1)/Spot</f>
        <v>0</v>
      </c>
      <c r="L25" s="27">
        <f>FX_VOL(Protect,C25)</f>
        <v>0.0824850330783484</v>
      </c>
      <c r="M25" s="25">
        <f>(LN(Spot/Protect)+(H25-I25+L25^2/2)*C25)/(L25*SQRT(C25))</f>
        <v>0.124097714071197</v>
      </c>
      <c r="N25" s="25">
        <f>M25-L25*SQRT(C25)</f>
        <v>0.00990235672083063</v>
      </c>
      <c r="O25" s="26">
        <f>IF(Phi=1,Spot*G25*NORMSDIST(M25)-Protect*F25*NORMSDIST(N25),Protect*F25*NORMSDIST(-N25)-Spot*G25*NORMSDIST(-M25))</f>
        <v>0.0550929831801614</v>
      </c>
      <c r="P25" s="28">
        <f>B25*Notional/Protect*O25/Spot</f>
        <v>0</v>
      </c>
      <c r="Q25" s="27">
        <f>FX_VOL(Giveup,C25)</f>
        <v>0.0823495948363282</v>
      </c>
      <c r="R25" s="25">
        <f>(LN(Spot/Giveup)+(H25-I25+Q25^2/2)*C25)/(Q25*SQRT(C25))</f>
        <v>0.207104657509663</v>
      </c>
      <c r="S25" s="25">
        <f>R25-Q25*SQRT(C25)</f>
        <v>0.0930968059148167</v>
      </c>
      <c r="T25" s="26">
        <f>IF(Phi=-1,Spot*G25*NORMSDIST(R25)-Giveup*F25*NORMSDIST(S25),Giveup*F25*NORMSDIST(-S25)-Spot*G25*NORMSDIST(-R25))</f>
        <v>0.0414776265134985</v>
      </c>
      <c r="U25" s="28">
        <f>B25*Notional/Giveup*T25/Spot</f>
        <v>0</v>
      </c>
      <c r="V25" s="27">
        <f>FX_VOL(PFStrike,C25)</f>
        <v>0.0827519110004637</v>
      </c>
      <c r="W25" s="25">
        <f>(LN(Spot/PFStrike)+(H25-I25+V25^2/2)*C25)/(V25*SQRT(C25))</f>
        <v>0.0314217785262531</v>
      </c>
      <c r="X25" s="25">
        <f>W25-V25*SQRT(C25)</f>
        <v>-0.0831430545768342</v>
      </c>
      <c r="Y25" s="26">
        <f>IF(Phi=1,Spot*G25*NORMSDIST(W25)-PFStrike*F25*NORMSDIST(X25),PFStrike*F25*NORMSDIST(-X25)-Spot*G25*NORMSDIST(-W25))</f>
        <v>0.0495107086851417</v>
      </c>
      <c r="Z25" s="26">
        <f>IF(Phi=-1,Spot*G25*NORMSDIST(W25)-PFStrike*F25*NORMSDIST(X25),PFStrike*F25*NORMSDIST(-X25)-Spot*G25*NORMSDIST(-W25))</f>
        <v>0.0528283757962189</v>
      </c>
      <c r="AA25" s="28">
        <f>B25*Notional/PFStrike*(Y25-(1-Participation)*Z25)/Spot</f>
        <v>0</v>
      </c>
    </row>
    <row r="26" spans="1:27">
      <c r="A26" s="24">
        <f>ROW()-2</f>
        <v>24</v>
      </c>
      <c r="B26" s="24">
        <f>IF(A26&lt;=NMonths,1,0)</f>
        <v>0</v>
      </c>
      <c r="C26" s="25">
        <f>A26/12</f>
        <v>2</v>
      </c>
      <c r="D26" s="25">
        <f>FX_FORWARD(C26)</f>
        <v>1.18972369015772</v>
      </c>
      <c r="E26" s="24">
        <f>(D26-Spot)*10000</f>
        <v>247.23690157721</v>
      </c>
      <c r="F26" s="26">
        <f>FX_DFDOM(C26)</f>
        <v>0.93800499953073</v>
      </c>
      <c r="G26" s="26">
        <f>FX_DFFOR(C26)</f>
        <v>0.957911390067031</v>
      </c>
      <c r="H26" s="27">
        <f>-LN(F26)/C26</f>
        <v>0.032</v>
      </c>
      <c r="I26" s="27">
        <f>-LN(G26)/C26</f>
        <v>0.0215</v>
      </c>
      <c r="J26" s="25">
        <f>D26-Phi*MarginBp/10000*AvgFwd</f>
        <v>1.18972369015772</v>
      </c>
      <c r="K26" s="28">
        <f>B26*Phi*Notional*F26*(D26/J26-1)/Spot</f>
        <v>0</v>
      </c>
      <c r="L26" s="27">
        <f>FX_VOL(Protect,C26)</f>
        <v>0.0826055123433895</v>
      </c>
      <c r="M26" s="25">
        <f>(LN(Spot/Protect)+(H26-I26+L26^2/2)*C26)/(L26*SQRT(C26))</f>
        <v>0.128660186651093</v>
      </c>
      <c r="N26" s="25">
        <f>M26-L26*SQRT(C26)</f>
        <v>0.0118383507682938</v>
      </c>
      <c r="O26" s="26">
        <f>IF(Phi=1,Spot*G26*NORMSDIST(M26)-Protect*F26*NORMSDIST(N26),Protect*F26*NORMSDIST(-N26)-Spot*G26*NORMSDIST(-M26))</f>
        <v>0.0564558143751457</v>
      </c>
      <c r="P26" s="28">
        <f>B26*Notional/Protect*O26/Spot</f>
        <v>0</v>
      </c>
      <c r="Q26" s="27">
        <f>FX_VOL(Giveup,C26)</f>
        <v>0.0824784068562505</v>
      </c>
      <c r="R26" s="25">
        <f>(LN(Spot/Giveup)+(H26-I26+Q26^2/2)*C26)/(Q26*SQRT(C26))</f>
        <v>0.209794825050738</v>
      </c>
      <c r="S26" s="25">
        <f>R26-Q26*SQRT(C26)</f>
        <v>0.0931527434717026</v>
      </c>
      <c r="T26" s="26">
        <f>IF(Phi=-1,Spot*G26*NORMSDIST(R26)-Giveup*F26*NORMSDIST(S26),Giveup*F26*NORMSDIST(-S26)-Spot*G26*NORMSDIST(-R26))</f>
        <v>0.042262294381873</v>
      </c>
      <c r="U26" s="28">
        <f>B26*Notional/Giveup*T26/Spot</f>
        <v>0</v>
      </c>
      <c r="V26" s="27">
        <f>FX_VOL(PFStrike,C26)</f>
        <v>0.0828585662522554</v>
      </c>
      <c r="W26" s="25">
        <f>(LN(Spot/PFStrike)+(H26-I26+V26^2/2)*C26)/(V26*SQRT(C26))</f>
        <v>0.0380473543407129</v>
      </c>
      <c r="X26" s="25">
        <f>W26-V26*SQRT(C26)</f>
        <v>-0.0791323538120164</v>
      </c>
      <c r="Y26" s="26">
        <f>IF(Phi=1,Spot*G26*NORMSDIST(W26)-PFStrike*F26*NORMSDIST(X26),PFStrike*F26*NORMSDIST(-X26)-Spot*G26*NORMSDIST(-W26))</f>
        <v>0.0508683710353334</v>
      </c>
      <c r="Z26" s="26">
        <f>IF(Phi=-1,Spot*G26*NORMSDIST(W26)-PFStrike*F26*NORMSDIST(X26),PFStrike*F26*NORMSDIST(-X26)-Spot*G26*NORMSDIST(-W26))</f>
        <v>0.0535579220025946</v>
      </c>
      <c r="AA26" s="28">
        <f>B26*Notional/PFStrike*(Y26-(1-Participation)*Z26)/Spot</f>
        <v>0</v>
      </c>
    </row>
    <row r="28" spans="1:27">
      <c r="A28" s="11" t="s">
        <v>68</v>
      </c>
      <c r="K28" s="29">
        <f>SUM(K3:K26)</f>
        <v>0</v>
      </c>
      <c r="P28" s="29">
        <f>SUM(P3:P26)</f>
        <v>197550.658359021</v>
      </c>
      <c r="U28" s="29">
        <f>SUM(U3:U26)</f>
        <v>197550.836257417</v>
      </c>
      <c r="AA28" s="29">
        <f>SUM(AA3:AA26)</f>
        <v>2.47246735328099</v>
      </c>
    </row>
    <row r="30" spans="1:27">
      <c r="A30" s="4" t="s">
        <v>69</v>
      </c>
      <c r="J30" s="13">
        <f>Pricer!I15/FX_DFFOR((1+NMonths)/24)</f>
        <v>199707.83352921</v>
      </c>
    </row>
  </sheetData>
  <conditionalFormatting sqref="A3:AA26">
    <cfRule type="expression" dxfId="0" priority="1">
      <formula>$B3=0</formula>
    </cfRule>
  </conditionalFormatting>
  <pageMargins left="0.4" right="0.4" top="0.5" bottom="0.5" header="0.3" footer="0.3"/>
  <pageSetup paperSize="9" fitToHeight="0" orientation="landscape"/>
</worksheet>
</file>

<file path=xl/worksheets/sheet4.xml><?xml version="1.0" encoding="utf-8"?>
<worksheet xmlns="http://schemas.openxmlformats.org/spreadsheetml/2006/main" xmlns:r="http://schemas.openxmlformats.org/officeDocument/2006/relationships">
  <sheetPr codeName="Sheet4">
    <pageSetUpPr fitToPage="1"/>
  </sheetPr>
  <dimension ref="A1:H63"/>
  <sheetViews>
    <sheetView showGridLines="0" workbookViewId="0"/>
  </sheetViews>
  <sheetFormatPr defaultRowHeight="15"/>
  <cols>
    <col min="1" max="2" width="12.7109375" customWidth="1"/>
    <col min="3" max="8" width="18.7109375" customWidth="1"/>
  </cols>
  <sheetData>
    <row r="1" spans="1:8">
      <c r="A1" s="21" t="s">
        <v>70</v>
      </c>
    </row>
    <row r="2" spans="1:8">
      <c r="A2" s="8" t="s">
        <v>71</v>
      </c>
      <c r="B2" s="8" t="s">
        <v>72</v>
      </c>
      <c r="C2" s="8" t="s">
        <v>37</v>
      </c>
      <c r="D2" s="8" t="s">
        <v>38</v>
      </c>
      <c r="E2" s="8" t="s">
        <v>39</v>
      </c>
      <c r="F2" s="8" t="s">
        <v>40</v>
      </c>
      <c r="G2" s="8" t="s">
        <v>41</v>
      </c>
      <c r="H2" s="8" t="s">
        <v>42</v>
      </c>
    </row>
    <row r="3" spans="1:8">
      <c r="A3" s="27">
        <f>-0.15+(ROW()-3)*0.005</f>
        <v>-0.15</v>
      </c>
      <c r="B3" s="25">
        <f>Spot*(1+A3)</f>
        <v>0.99025</v>
      </c>
      <c r="C3" s="25">
        <f>B3</f>
        <v>0.99025</v>
      </c>
      <c r="D3" s="25">
        <f>NMonths/SUMPRODUCT(Schedule!$B$3:$B$26/Schedule!$J$3:$J$26)</f>
        <v>1.17423756497129</v>
      </c>
      <c r="E3" s="25">
        <f>TotalN/ABS(Phi*TotalN/IF(Phi*(B3-Protect)&gt;0,Protect,B3)-PremFV)</f>
        <v>1.00684282702437</v>
      </c>
      <c r="F3" s="25">
        <f>MEDIAN(B3,Protect,Giveup)</f>
        <v>1.168888</v>
      </c>
      <c r="G3" s="25">
        <f>TotalN/ABS(Phi*NMonths*(Notional/B3+IF(Phi*(B3-PFStrike)&gt;0,1,1-Participation)*Notional*(1/PFStrike-1/B3)))</f>
        <v>1.08204238215243</v>
      </c>
      <c r="H3" s="25">
        <f>TotalN/ABS(Phi*(TotalN/B3+IF((Phi*(B3-TarfStrike))&gt;0,IF(KOType="exact",MIN(TotalN,Notional*TarfTarget/10000/(Phi*(B3-TarfStrike))),Notional*MIN(NMonths,ROUNDUP(TarfTarget/10000/(Phi*(B3-TarfStrike))-1E-12,0))),Leverage*TotalN)*(1/TarfStrike-1/B3)))</f>
        <v>1.30085192954931</v>
      </c>
    </row>
    <row r="4" spans="1:8">
      <c r="A4" s="27">
        <f>-0.15+(ROW()-3)*0.005</f>
        <v>-0.145</v>
      </c>
      <c r="B4" s="25">
        <f>Spot*(1+A4)</f>
        <v>0.996075</v>
      </c>
      <c r="C4" s="25">
        <f>B4</f>
        <v>0.996075</v>
      </c>
      <c r="D4" s="25">
        <f>NMonths/SUMPRODUCT(Schedule!$B$3:$B$26/Schedule!$J$3:$J$26)</f>
        <v>1.17423756497129</v>
      </c>
      <c r="E4" s="25">
        <f>TotalN/ABS(Phi*TotalN/IF(Phi*(B4-Protect)&gt;0,Protect,B4)-PremFV)</f>
        <v>1.0128652658477</v>
      </c>
      <c r="F4" s="25">
        <f>MEDIAN(B4,Protect,Giveup)</f>
        <v>1.168888</v>
      </c>
      <c r="G4" s="25">
        <f>TotalN/ABS(Phi*NMonths*(Notional/B4+IF(Phi*(B4-PFStrike)&gt;0,1,1-Participation)*Notional*(1/PFStrike-1/B4)))</f>
        <v>1.08551060812842</v>
      </c>
      <c r="H4" s="25">
        <f>TotalN/ABS(Phi*(TotalN/B4+IF((Phi*(B4-TarfStrike))&gt;0,IF(KOType="exact",MIN(TotalN,Notional*TarfTarget/10000/(Phi*(B4-TarfStrike))),Notional*MIN(NMonths,ROUNDUP(TarfTarget/10000/(Phi*(B4-TarfStrike))-1E-12,0))),Leverage*TotalN)*(1/TarfStrike-1/B4)))</f>
        <v>1.29093468157777</v>
      </c>
    </row>
    <row r="5" spans="1:8">
      <c r="A5" s="27">
        <f>-0.15+(ROW()-3)*0.005</f>
        <v>-0.14</v>
      </c>
      <c r="B5" s="25">
        <f>Spot*(1+A5)</f>
        <v>1.0019</v>
      </c>
      <c r="C5" s="25">
        <f>B5</f>
        <v>1.0019</v>
      </c>
      <c r="D5" s="25">
        <f>NMonths/SUMPRODUCT(Schedule!$B$3:$B$26/Schedule!$J$3:$J$26)</f>
        <v>1.17423756497129</v>
      </c>
      <c r="E5" s="25">
        <f>TotalN/ABS(Phi*TotalN/IF(Phi*(B5-Protect)&gt;0,Protect,B5)-PremFV)</f>
        <v>1.01888889211911</v>
      </c>
      <c r="F5" s="25">
        <f>MEDIAN(B5,Protect,Giveup)</f>
        <v>1.168888</v>
      </c>
      <c r="G5" s="25">
        <f>TotalN/ABS(Phi*NMonths*(Notional/B5+IF(Phi*(B5-PFStrike)&gt;0,1,1-Participation)*Notional*(1/PFStrike-1/B5)))</f>
        <v>1.08896042216623</v>
      </c>
      <c r="H5" s="25">
        <f>TotalN/ABS(Phi*(TotalN/B5+IF((Phi*(B5-TarfStrike))&gt;0,IF(KOType="exact",MIN(TotalN,Notional*TarfTarget/10000/(Phi*(B5-TarfStrike))),Notional*MIN(NMonths,ROUNDUP(TarfTarget/10000/(Phi*(B5-TarfStrike))-1E-12,0))),Leverage*TotalN)*(1/TarfStrike-1/B5)))</f>
        <v>1.28128022342696</v>
      </c>
    </row>
    <row r="6" spans="1:8">
      <c r="A6" s="27">
        <f>-0.15+(ROW()-3)*0.005</f>
        <v>-0.135</v>
      </c>
      <c r="B6" s="25">
        <f>Spot*(1+A6)</f>
        <v>1.007725</v>
      </c>
      <c r="C6" s="25">
        <f>B6</f>
        <v>1.007725</v>
      </c>
      <c r="D6" s="25">
        <f>NMonths/SUMPRODUCT(Schedule!$B$3:$B$26/Schedule!$J$3:$J$26)</f>
        <v>1.17423756497129</v>
      </c>
      <c r="E6" s="25">
        <f>TotalN/ABS(Phi*TotalN/IF(Phi*(B6-Protect)&gt;0,Protect,B6)-PremFV)</f>
        <v>1.02491370618981</v>
      </c>
      <c r="F6" s="25">
        <f>MEDIAN(B6,Protect,Giveup)</f>
        <v>1.168888</v>
      </c>
      <c r="G6" s="25">
        <f>TotalN/ABS(Phi*NMonths*(Notional/B6+IF(Phi*(B6-PFStrike)&gt;0,1,1-Participation)*Notional*(1/PFStrike-1/B6)))</f>
        <v>1.09239197049424</v>
      </c>
      <c r="H6" s="25">
        <f>TotalN/ABS(Phi*(TotalN/B6+IF((Phi*(B6-TarfStrike))&gt;0,IF(KOType="exact",MIN(TotalN,Notional*TarfTarget/10000/(Phi*(B6-TarfStrike))),Notional*MIN(NMonths,ROUNDUP(TarfTarget/10000/(Phi*(B6-TarfStrike))-1E-12,0))),Leverage*TotalN)*(1/TarfStrike-1/B6)))</f>
        <v>1.27187824646755</v>
      </c>
    </row>
    <row r="7" spans="1:8">
      <c r="A7" s="27">
        <f>-0.15+(ROW()-3)*0.005</f>
        <v>-0.13</v>
      </c>
      <c r="B7" s="25">
        <f>Spot*(1+A7)</f>
        <v>1.01355</v>
      </c>
      <c r="C7" s="25">
        <f>B7</f>
        <v>1.01355</v>
      </c>
      <c r="D7" s="25">
        <f>NMonths/SUMPRODUCT(Schedule!$B$3:$B$26/Schedule!$J$3:$J$26)</f>
        <v>1.17423756497129</v>
      </c>
      <c r="E7" s="25">
        <f>TotalN/ABS(Phi*TotalN/IF(Phi*(B7-Protect)&gt;0,Protect,B7)-PremFV)</f>
        <v>1.03093970841119</v>
      </c>
      <c r="F7" s="25">
        <f>MEDIAN(B7,Protect,Giveup)</f>
        <v>1.168888</v>
      </c>
      <c r="G7" s="25">
        <f>TotalN/ABS(Phi*NMonths*(Notional/B7+IF(Phi*(B7-PFStrike)&gt;0,1,1-Participation)*Notional*(1/PFStrike-1/B7)))</f>
        <v>1.09580539779642</v>
      </c>
      <c r="H7" s="25">
        <f>TotalN/ABS(Phi*(TotalN/B7+IF((Phi*(B7-TarfStrike))&gt;0,IF(KOType="exact",MIN(TotalN,Notional*TarfTarget/10000/(Phi*(B7-TarfStrike))),Notional*MIN(NMonths,ROUNDUP(TarfTarget/10000/(Phi*(B7-TarfStrike))-1E-12,0))),Leverage*TotalN)*(1/TarfStrike-1/B7)))</f>
        <v>1.26271897428881</v>
      </c>
    </row>
    <row r="8" spans="1:8">
      <c r="A8" s="27">
        <f>-0.15+(ROW()-3)*0.005</f>
        <v>-0.125</v>
      </c>
      <c r="B8" s="25">
        <f>Spot*(1+A8)</f>
        <v>1.019375</v>
      </c>
      <c r="C8" s="25">
        <f>B8</f>
        <v>1.019375</v>
      </c>
      <c r="D8" s="25">
        <f>NMonths/SUMPRODUCT(Schedule!$B$3:$B$26/Schedule!$J$3:$J$26)</f>
        <v>1.17423756497129</v>
      </c>
      <c r="E8" s="25">
        <f>TotalN/ABS(Phi*TotalN/IF(Phi*(B8-Protect)&gt;0,Protect,B8)-PremFV)</f>
        <v>1.03696689913475</v>
      </c>
      <c r="F8" s="25">
        <f>MEDIAN(B8,Protect,Giveup)</f>
        <v>1.168888</v>
      </c>
      <c r="G8" s="25">
        <f>TotalN/ABS(Phi*NMonths*(Notional/B8+IF(Phi*(B8-PFStrike)&gt;0,1,1-Participation)*Notional*(1/PFStrike-1/B8)))</f>
        <v>1.09920084723273</v>
      </c>
      <c r="H8" s="25">
        <f>TotalN/ABS(Phi*(TotalN/B8+IF((Phi*(B8-TarfStrike))&gt;0,IF(KOType="exact",MIN(TotalN,Notional*TarfTarget/10000/(Phi*(B8-TarfStrike))),Notional*MIN(NMonths,ROUNDUP(TarfTarget/10000/(Phi*(B8-TarfStrike))-1E-12,0))),Leverage*TotalN)*(1/TarfStrike-1/B8)))</f>
        <v>1.2537931287893</v>
      </c>
    </row>
    <row r="9" spans="1:8">
      <c r="A9" s="27">
        <f>-0.15+(ROW()-3)*0.005</f>
        <v>-0.12</v>
      </c>
      <c r="B9" s="25">
        <f>Spot*(1+A9)</f>
        <v>1.0252</v>
      </c>
      <c r="C9" s="25">
        <f>B9</f>
        <v>1.0252</v>
      </c>
      <c r="D9" s="25">
        <f>NMonths/SUMPRODUCT(Schedule!$B$3:$B$26/Schedule!$J$3:$J$26)</f>
        <v>1.17423756497129</v>
      </c>
      <c r="E9" s="25">
        <f>TotalN/ABS(Phi*TotalN/IF(Phi*(B9-Protect)&gt;0,Protect,B9)-PremFV)</f>
        <v>1.04299527871213</v>
      </c>
      <c r="F9" s="25">
        <f>MEDIAN(B9,Protect,Giveup)</f>
        <v>1.168888</v>
      </c>
      <c r="G9" s="25">
        <f>TotalN/ABS(Phi*NMonths*(Notional/B9+IF(Phi*(B9-PFStrike)&gt;0,1,1-Participation)*Notional*(1/PFStrike-1/B9)))</f>
        <v>1.10257846045908</v>
      </c>
      <c r="H9" s="25">
        <f>TotalN/ABS(Phi*(TotalN/B9+IF((Phi*(B9-TarfStrike))&gt;0,IF(KOType="exact",MIN(TotalN,Notional*TarfTarget/10000/(Phi*(B9-TarfStrike))),Notional*MIN(NMonths,ROUNDUP(TarfTarget/10000/(Phi*(B9-TarfStrike))-1E-12,0))),Leverage*TotalN)*(1/TarfStrike-1/B9)))</f>
        <v>1.24509189882742</v>
      </c>
    </row>
    <row r="10" spans="1:8">
      <c r="A10" s="27">
        <f>-0.15+(ROW()-3)*0.005</f>
        <v>-0.115</v>
      </c>
      <c r="B10" s="25">
        <f>Spot*(1+A10)</f>
        <v>1.031025</v>
      </c>
      <c r="C10" s="25">
        <f>B10</f>
        <v>1.031025</v>
      </c>
      <c r="D10" s="25">
        <f>NMonths/SUMPRODUCT(Schedule!$B$3:$B$26/Schedule!$J$3:$J$26)</f>
        <v>1.17423756497129</v>
      </c>
      <c r="E10" s="25">
        <f>TotalN/ABS(Phi*TotalN/IF(Phi*(B10-Protect)&gt;0,Protect,B10)-PremFV)</f>
        <v>1.04902484749513</v>
      </c>
      <c r="F10" s="25">
        <f>MEDIAN(B10,Protect,Giveup)</f>
        <v>1.168888</v>
      </c>
      <c r="G10" s="25">
        <f>TotalN/ABS(Phi*NMonths*(Notional/B10+IF(Phi*(B10-PFStrike)&gt;0,1,1-Participation)*Notional*(1/PFStrike-1/B10)))</f>
        <v>1.10593837764704</v>
      </c>
      <c r="H10" s="25">
        <f>TotalN/ABS(Phi*(TotalN/B10+IF((Phi*(B10-TarfStrike))&gt;0,IF(KOType="exact",MIN(TotalN,Notional*TarfTarget/10000/(Phi*(B10-TarfStrike))),Notional*MIN(NMonths,ROUNDUP(TarfTarget/10000/(Phi*(B10-TarfStrike))-1E-12,0))),Leverage*TotalN)*(1/TarfStrike-1/B10)))</f>
        <v>1.23660691120929</v>
      </c>
    </row>
    <row r="11" spans="1:8">
      <c r="A11" s="27">
        <f>-0.15+(ROW()-3)*0.005</f>
        <v>-0.11</v>
      </c>
      <c r="B11" s="25">
        <f>Spot*(1+A11)</f>
        <v>1.03685</v>
      </c>
      <c r="C11" s="25">
        <f>B11</f>
        <v>1.03685</v>
      </c>
      <c r="D11" s="25">
        <f>NMonths/SUMPRODUCT(Schedule!$B$3:$B$26/Schedule!$J$3:$J$26)</f>
        <v>1.17423756497129</v>
      </c>
      <c r="E11" s="25">
        <f>TotalN/ABS(Phi*TotalN/IF(Phi*(B11-Protect)&gt;0,Protect,B11)-PremFV)</f>
        <v>1.05505560583565</v>
      </c>
      <c r="F11" s="25">
        <f>MEDIAN(B11,Protect,Giveup)</f>
        <v>1.168888</v>
      </c>
      <c r="G11" s="25">
        <f>TotalN/ABS(Phi*NMonths*(Notional/B11+IF(Phi*(B11-PFStrike)&gt;0,1,1-Participation)*Notional*(1/PFStrike-1/B11)))</f>
        <v>1.10928073750326</v>
      </c>
      <c r="H11" s="25">
        <f>TotalN/ABS(Phi*(TotalN/B11+IF((Phi*(B11-TarfStrike))&gt;0,IF(KOType="exact",MIN(TotalN,Notional*TarfTarget/10000/(Phi*(B11-TarfStrike))),Notional*MIN(NMonths,ROUNDUP(TarfTarget/10000/(Phi*(B11-TarfStrike))-1E-12,0))),Leverage*TotalN)*(1/TarfStrike-1/B11)))</f>
        <v>1.22833020381309</v>
      </c>
    </row>
    <row r="12" spans="1:8">
      <c r="A12" s="27">
        <f>-0.15+(ROW()-3)*0.005</f>
        <v>-0.105</v>
      </c>
      <c r="B12" s="25">
        <f>Spot*(1+A12)</f>
        <v>1.042675</v>
      </c>
      <c r="C12" s="25">
        <f>B12</f>
        <v>1.042675</v>
      </c>
      <c r="D12" s="25">
        <f>NMonths/SUMPRODUCT(Schedule!$B$3:$B$26/Schedule!$J$3:$J$26)</f>
        <v>1.17423756497129</v>
      </c>
      <c r="E12" s="25">
        <f>TotalN/ABS(Phi*TotalN/IF(Phi*(B12-Protect)&gt;0,Protect,B12)-PremFV)</f>
        <v>1.06108755408576</v>
      </c>
      <c r="F12" s="25">
        <f>MEDIAN(B12,Protect,Giveup)</f>
        <v>1.168888</v>
      </c>
      <c r="G12" s="25">
        <f>TotalN/ABS(Phi*NMonths*(Notional/B12+IF(Phi*(B12-PFStrike)&gt;0,1,1-Participation)*Notional*(1/PFStrike-1/B12)))</f>
        <v>1.11260567728852</v>
      </c>
      <c r="H12" s="25">
        <f>TotalN/ABS(Phi*(TotalN/B12+IF((Phi*(B12-TarfStrike))&gt;0,IF(KOType="exact",MIN(TotalN,Notional*TarfTarget/10000/(Phi*(B12-TarfStrike))),Notional*MIN(NMonths,ROUNDUP(TarfTarget/10000/(Phi*(B12-TarfStrike))-1E-12,0))),Leverage*TotalN)*(1/TarfStrike-1/B12)))</f>
        <v>1.22025420066857</v>
      </c>
    </row>
    <row r="13" spans="1:8">
      <c r="A13" s="27">
        <f>-0.15+(ROW()-3)*0.005</f>
        <v>-0.1</v>
      </c>
      <c r="B13" s="25">
        <f>Spot*(1+A13)</f>
        <v>1.0485</v>
      </c>
      <c r="C13" s="25">
        <f>B13</f>
        <v>1.0485</v>
      </c>
      <c r="D13" s="25">
        <f>NMonths/SUMPRODUCT(Schedule!$B$3:$B$26/Schedule!$J$3:$J$26)</f>
        <v>1.17423756497129</v>
      </c>
      <c r="E13" s="25">
        <f>TotalN/ABS(Phi*TotalN/IF(Phi*(B13-Protect)&gt;0,Protect,B13)-PremFV)</f>
        <v>1.06712069259767</v>
      </c>
      <c r="F13" s="25">
        <f>MEDIAN(B13,Protect,Giveup)</f>
        <v>1.168888</v>
      </c>
      <c r="G13" s="25">
        <f>TotalN/ABS(Phi*NMonths*(Notional/B13+IF(Phi*(B13-PFStrike)&gt;0,1,1-Participation)*Notional*(1/PFStrike-1/B13)))</f>
        <v>1.11591333283655</v>
      </c>
      <c r="H13" s="25">
        <f>TotalN/ABS(Phi*(TotalN/B13+IF((Phi*(B13-TarfStrike))&gt;0,IF(KOType="exact",MIN(TotalN,Notional*TarfTarget/10000/(Phi*(B13-TarfStrike))),Notional*MIN(NMonths,ROUNDUP(TarfTarget/10000/(Phi*(B13-TarfStrike))-1E-12,0))),Leverage*TotalN)*(1/TarfStrike-1/B13)))</f>
        <v>1.2123716888277</v>
      </c>
    </row>
    <row r="14" spans="1:8">
      <c r="A14" s="27">
        <f>-0.15+(ROW()-3)*0.005</f>
        <v>-0.095</v>
      </c>
      <c r="B14" s="25">
        <f>Spot*(1+A14)</f>
        <v>1.054325</v>
      </c>
      <c r="C14" s="25">
        <f>B14</f>
        <v>1.054325</v>
      </c>
      <c r="D14" s="25">
        <f>NMonths/SUMPRODUCT(Schedule!$B$3:$B$26/Schedule!$J$3:$J$26)</f>
        <v>1.17423756497129</v>
      </c>
      <c r="E14" s="25">
        <f>TotalN/ABS(Phi*TotalN/IF(Phi*(B14-Protect)&gt;0,Protect,B14)-PremFV)</f>
        <v>1.07315502172371</v>
      </c>
      <c r="F14" s="25">
        <f>MEDIAN(B14,Protect,Giveup)</f>
        <v>1.168888</v>
      </c>
      <c r="G14" s="25">
        <f>TotalN/ABS(Phi*NMonths*(Notional/B14+IF(Phi*(B14-PFStrike)&gt;0,1,1-Participation)*Notional*(1/PFStrike-1/B14)))</f>
        <v>1.11920383857251</v>
      </c>
      <c r="H14" s="25">
        <f>TotalN/ABS(Phi*(TotalN/B14+IF((Phi*(B14-TarfStrike))&gt;0,IF(KOType="exact",MIN(TotalN,Notional*TarfTarget/10000/(Phi*(B14-TarfStrike))),Notional*MIN(NMonths,ROUNDUP(TarfTarget/10000/(Phi*(B14-TarfStrike))-1E-12,0))),Leverage*TotalN)*(1/TarfStrike-1/B14)))</f>
        <v>1.20467579687813</v>
      </c>
    </row>
    <row r="15" spans="1:8">
      <c r="A15" s="27">
        <f>-0.15+(ROW()-3)*0.005</f>
        <v>-0.09</v>
      </c>
      <c r="B15" s="25">
        <f>Spot*(1+A15)</f>
        <v>1.06015</v>
      </c>
      <c r="C15" s="25">
        <f>B15</f>
        <v>1.06015</v>
      </c>
      <c r="D15" s="25">
        <f>NMonths/SUMPRODUCT(Schedule!$B$3:$B$26/Schedule!$J$3:$J$26)</f>
        <v>1.17423756497129</v>
      </c>
      <c r="E15" s="25">
        <f>TotalN/ABS(Phi*TotalN/IF(Phi*(B15-Protect)&gt;0,Protect,B15)-PremFV)</f>
        <v>1.07919054181637</v>
      </c>
      <c r="F15" s="25">
        <f>MEDIAN(B15,Protect,Giveup)</f>
        <v>1.168888</v>
      </c>
      <c r="G15" s="25">
        <f>TotalN/ABS(Phi*NMonths*(Notional/B15+IF(Phi*(B15-PFStrike)&gt;0,1,1-Participation)*Notional*(1/PFStrike-1/B15)))</f>
        <v>1.12247732753122</v>
      </c>
      <c r="H15" s="25">
        <f>TotalN/ABS(Phi*(TotalN/B15+IF((Phi*(B15-TarfStrike))&gt;0,IF(KOType="exact",MIN(TotalN,Notional*TarfTarget/10000/(Phi*(B15-TarfStrike))),Notional*MIN(NMonths,ROUNDUP(TarfTarget/10000/(Phi*(B15-TarfStrike))-1E-12,0))),Leverage*TotalN)*(1/TarfStrike-1/B15)))</f>
        <v>1.19715997496493</v>
      </c>
    </row>
    <row r="16" spans="1:8">
      <c r="A16" s="27">
        <f>-0.15+(ROW()-3)*0.005</f>
        <v>-0.085</v>
      </c>
      <c r="B16" s="25">
        <f>Spot*(1+A16)</f>
        <v>1.065975</v>
      </c>
      <c r="C16" s="25">
        <f>B16</f>
        <v>1.065975</v>
      </c>
      <c r="D16" s="25">
        <f>NMonths/SUMPRODUCT(Schedule!$B$3:$B$26/Schedule!$J$3:$J$26)</f>
        <v>1.17423756497129</v>
      </c>
      <c r="E16" s="25">
        <f>TotalN/ABS(Phi*TotalN/IF(Phi*(B16-Protect)&gt;0,Protect,B16)-PremFV)</f>
        <v>1.08522725322825</v>
      </c>
      <c r="F16" s="25">
        <f>MEDIAN(B16,Protect,Giveup)</f>
        <v>1.168888</v>
      </c>
      <c r="G16" s="25">
        <f>TotalN/ABS(Phi*NMonths*(Notional/B16+IF(Phi*(B16-PFStrike)&gt;0,1,1-Participation)*Notional*(1/PFStrike-1/B16)))</f>
        <v>1.12573393137504</v>
      </c>
      <c r="H16" s="25">
        <f>TotalN/ABS(Phi*(TotalN/B16+IF((Phi*(B16-TarfStrike))&gt;0,IF(KOType="exact",MIN(TotalN,Notional*TarfTarget/10000/(Phi*(B16-TarfStrike))),Notional*MIN(NMonths,ROUNDUP(TarfTarget/10000/(Phi*(B16-TarfStrike))-1E-12,0))),Leverage*TotalN)*(1/TarfStrike-1/B16)))</f>
        <v>1.18981797619839</v>
      </c>
    </row>
    <row r="17" spans="1:8">
      <c r="A17" s="27">
        <f>-0.15+(ROW()-3)*0.005</f>
        <v>-0.08</v>
      </c>
      <c r="B17" s="25">
        <f>Spot*(1+A17)</f>
        <v>1.0718</v>
      </c>
      <c r="C17" s="25">
        <f>B17</f>
        <v>1.0718</v>
      </c>
      <c r="D17" s="25">
        <f>NMonths/SUMPRODUCT(Schedule!$B$3:$B$26/Schedule!$J$3:$J$26)</f>
        <v>1.17423756497129</v>
      </c>
      <c r="E17" s="25">
        <f>TotalN/ABS(Phi*TotalN/IF(Phi*(B17-Protect)&gt;0,Protect,B17)-PremFV)</f>
        <v>1.09126515631212</v>
      </c>
      <c r="F17" s="25">
        <f>MEDIAN(B17,Protect,Giveup)</f>
        <v>1.168888</v>
      </c>
      <c r="G17" s="25">
        <f>TotalN/ABS(Phi*NMonths*(Notional/B17+IF(Phi*(B17-PFStrike)&gt;0,1,1-Participation)*Notional*(1/PFStrike-1/B17)))</f>
        <v>1.1289737804116</v>
      </c>
      <c r="H17" s="25">
        <f>TotalN/ABS(Phi*(TotalN/B17+IF((Phi*(B17-TarfStrike))&gt;0,IF(KOType="exact",MIN(TotalN,Notional*TarfTarget/10000/(Phi*(B17-TarfStrike))),Notional*MIN(NMonths,ROUNDUP(TarfTarget/10000/(Phi*(B17-TarfStrike))-1E-12,0))),Leverage*TotalN)*(1/TarfStrike-1/B17)))</f>
        <v>1.18264383933714</v>
      </c>
    </row>
    <row r="18" spans="1:8">
      <c r="A18" s="27">
        <f>-0.15+(ROW()-3)*0.005</f>
        <v>-0.075</v>
      </c>
      <c r="B18" s="25">
        <f>Spot*(1+A18)</f>
        <v>1.077625</v>
      </c>
      <c r="C18" s="25">
        <f>B18</f>
        <v>1.077625</v>
      </c>
      <c r="D18" s="25">
        <f>NMonths/SUMPRODUCT(Schedule!$B$3:$B$26/Schedule!$J$3:$J$26)</f>
        <v>1.17423756497129</v>
      </c>
      <c r="E18" s="25">
        <f>TotalN/ABS(Phi*TotalN/IF(Phi*(B18-Protect)&gt;0,Protect,B18)-PremFV)</f>
        <v>1.09730425142087</v>
      </c>
      <c r="F18" s="25">
        <f>MEDIAN(B18,Protect,Giveup)</f>
        <v>1.168888</v>
      </c>
      <c r="G18" s="25">
        <f>TotalN/ABS(Phi*NMonths*(Notional/B18+IF(Phi*(B18-PFStrike)&gt;0,1,1-Participation)*Notional*(1/PFStrike-1/B18)))</f>
        <v>1.13219700361111</v>
      </c>
      <c r="H18" s="25">
        <f>TotalN/ABS(Phi*(TotalN/B18+IF((Phi*(B18-TarfStrike))&gt;0,IF(KOType="exact",MIN(TotalN,Notional*TarfTarget/10000/(Phi*(B18-TarfStrike))),Notional*MIN(NMonths,ROUNDUP(TarfTarget/10000/(Phi*(B18-TarfStrike))-1E-12,0))),Leverage*TotalN)*(1/TarfStrike-1/B18)))</f>
        <v>1.17563187264553</v>
      </c>
    </row>
    <row r="19" spans="1:8">
      <c r="A19" s="27">
        <f>-0.15+(ROW()-3)*0.005</f>
        <v>-0.07</v>
      </c>
      <c r="B19" s="25">
        <f>Spot*(1+A19)</f>
        <v>1.08345</v>
      </c>
      <c r="C19" s="25">
        <f>B19</f>
        <v>1.08345</v>
      </c>
      <c r="D19" s="25">
        <f>NMonths/SUMPRODUCT(Schedule!$B$3:$B$26/Schedule!$J$3:$J$26)</f>
        <v>1.17423756497129</v>
      </c>
      <c r="E19" s="25">
        <f>TotalN/ABS(Phi*TotalN/IF(Phi*(B19-Protect)&gt;0,Protect,B19)-PremFV)</f>
        <v>1.10334453890754</v>
      </c>
      <c r="F19" s="25">
        <f>MEDIAN(B19,Protect,Giveup)</f>
        <v>1.168888</v>
      </c>
      <c r="G19" s="25">
        <f>TotalN/ABS(Phi*NMonths*(Notional/B19+IF(Phi*(B19-PFStrike)&gt;0,1,1-Participation)*Notional*(1/PFStrike-1/B19)))</f>
        <v>1.13540372862352</v>
      </c>
      <c r="H19" s="25">
        <f>TotalN/ABS(Phi*(TotalN/B19+IF((Phi*(B19-TarfStrike))&gt;0,IF(KOType="exact",MIN(TotalN,Notional*TarfTarget/10000/(Phi*(B19-TarfStrike))),Notional*MIN(NMonths,ROUNDUP(TarfTarget/10000/(Phi*(B19-TarfStrike))-1E-12,0))),Leverage*TotalN)*(1/TarfStrike-1/B19)))</f>
        <v>1.16877663883354</v>
      </c>
    </row>
    <row r="20" spans="1:8">
      <c r="A20" s="27">
        <f>-0.15+(ROW()-3)*0.005</f>
        <v>-0.065</v>
      </c>
      <c r="B20" s="25">
        <f>Spot*(1+A20)</f>
        <v>1.089275</v>
      </c>
      <c r="C20" s="25">
        <f>B20</f>
        <v>1.089275</v>
      </c>
      <c r="D20" s="25">
        <f>NMonths/SUMPRODUCT(Schedule!$B$3:$B$26/Schedule!$J$3:$J$26)</f>
        <v>1.17423756497129</v>
      </c>
      <c r="E20" s="25">
        <f>TotalN/ABS(Phi*TotalN/IF(Phi*(B20-Protect)&gt;0,Protect,B20)-PremFV)</f>
        <v>1.10938601912531</v>
      </c>
      <c r="F20" s="25">
        <f>MEDIAN(B20,Protect,Giveup)</f>
        <v>1.168888</v>
      </c>
      <c r="G20" s="25">
        <f>TotalN/ABS(Phi*NMonths*(Notional/B20+IF(Phi*(B20-PFStrike)&gt;0,1,1-Participation)*Notional*(1/PFStrike-1/B20)))</f>
        <v>1.13859408179534</v>
      </c>
      <c r="H20" s="25">
        <f>TotalN/ABS(Phi*(TotalN/B20+IF((Phi*(B20-TarfStrike))&gt;0,IF(KOType="exact",MIN(TotalN,Notional*TarfTarget/10000/(Phi*(B20-TarfStrike))),Notional*MIN(NMonths,ROUNDUP(TarfTarget/10000/(Phi*(B20-TarfStrike))-1E-12,0))),Leverage*TotalN)*(1/TarfStrike-1/B20)))</f>
        <v>1.16207294099538</v>
      </c>
    </row>
    <row r="21" spans="1:8">
      <c r="A21" s="27">
        <f>-0.15+(ROW()-3)*0.005</f>
        <v>-0.06</v>
      </c>
      <c r="B21" s="25">
        <f>Spot*(1+A21)</f>
        <v>1.0951</v>
      </c>
      <c r="C21" s="25">
        <f>B21</f>
        <v>1.0951</v>
      </c>
      <c r="D21" s="25">
        <f>NMonths/SUMPRODUCT(Schedule!$B$3:$B$26/Schedule!$J$3:$J$26)</f>
        <v>1.17423756497129</v>
      </c>
      <c r="E21" s="25">
        <f>TotalN/ABS(Phi*TotalN/IF(Phi*(B21-Protect)&gt;0,Protect,B21)-PremFV)</f>
        <v>1.11542869242748</v>
      </c>
      <c r="F21" s="25">
        <f>MEDIAN(B21,Protect,Giveup)</f>
        <v>1.168888</v>
      </c>
      <c r="G21" s="25">
        <f>TotalN/ABS(Phi*NMonths*(Notional/B21+IF(Phi*(B21-PFStrike)&gt;0,1,1-Participation)*Notional*(1/PFStrike-1/B21)))</f>
        <v>1.14176818818625</v>
      </c>
      <c r="H21" s="25">
        <f>TotalN/ABS(Phi*(TotalN/B21+IF((Phi*(B21-TarfStrike))&gt;0,IF(KOType="exact",MIN(TotalN,Notional*TarfTarget/10000/(Phi*(B21-TarfStrike))),Notional*MIN(NMonths,ROUNDUP(TarfTarget/10000/(Phi*(B21-TarfStrike))-1E-12,0))),Leverage*TotalN)*(1/TarfStrike-1/B21)))</f>
        <v>1.15551580947037</v>
      </c>
    </row>
    <row r="22" spans="1:8">
      <c r="A22" s="27">
        <f>-0.15+(ROW()-3)*0.005</f>
        <v>-0.055</v>
      </c>
      <c r="B22" s="25">
        <f>Spot*(1+A22)</f>
        <v>1.100925</v>
      </c>
      <c r="C22" s="25">
        <f>B22</f>
        <v>1.100925</v>
      </c>
      <c r="D22" s="25">
        <f>NMonths/SUMPRODUCT(Schedule!$B$3:$B$26/Schedule!$J$3:$J$26)</f>
        <v>1.17423756497129</v>
      </c>
      <c r="E22" s="25">
        <f>TotalN/ABS(Phi*TotalN/IF(Phi*(B22-Protect)&gt;0,Protect,B22)-PremFV)</f>
        <v>1.12147255916752</v>
      </c>
      <c r="F22" s="25">
        <f>MEDIAN(B22,Protect,Giveup)</f>
        <v>1.168888</v>
      </c>
      <c r="G22" s="25">
        <f>TotalN/ABS(Phi*NMonths*(Notional/B22+IF(Phi*(B22-PFStrike)&gt;0,1,1-Participation)*Notional*(1/PFStrike-1/B22)))</f>
        <v>1.14492617158546</v>
      </c>
      <c r="H22" s="25">
        <f>TotalN/ABS(Phi*(TotalN/B22+IF((Phi*(B22-TarfStrike))&gt;0,IF(KOType="exact",MIN(TotalN,Notional*TarfTarget/10000/(Phi*(B22-TarfStrike))),Notional*MIN(NMonths,ROUNDUP(TarfTarget/10000/(Phi*(B22-TarfStrike))-1E-12,0))),Leverage*TotalN)*(1/TarfStrike-1/B22)))</f>
        <v>1.14910048955635</v>
      </c>
    </row>
    <row r="23" spans="1:8">
      <c r="A23" s="27">
        <f>-0.15+(ROW()-3)*0.005</f>
        <v>-0.05</v>
      </c>
      <c r="B23" s="25">
        <f>Spot*(1+A23)</f>
        <v>1.10675</v>
      </c>
      <c r="C23" s="25">
        <f>B23</f>
        <v>1.10675</v>
      </c>
      <c r="D23" s="25">
        <f>NMonths/SUMPRODUCT(Schedule!$B$3:$B$26/Schedule!$J$3:$J$26)</f>
        <v>1.17423756497129</v>
      </c>
      <c r="E23" s="25">
        <f>TotalN/ABS(Phi*TotalN/IF(Phi*(B23-Protect)&gt;0,Protect,B23)-PremFV)</f>
        <v>1.12751761969901</v>
      </c>
      <c r="F23" s="25">
        <f>MEDIAN(B23,Protect,Giveup)</f>
        <v>1.168888</v>
      </c>
      <c r="G23" s="25">
        <f>TotalN/ABS(Phi*NMonths*(Notional/B23+IF(Phi*(B23-PFStrike)&gt;0,1,1-Participation)*Notional*(1/PFStrike-1/B23)))</f>
        <v>1.14806815452775</v>
      </c>
      <c r="H23" s="25">
        <f>TotalN/ABS(Phi*(TotalN/B23+IF((Phi*(B23-TarfStrike))&gt;0,IF(KOType="exact",MIN(TotalN,Notional*TarfTarget/10000/(Phi*(B23-TarfStrike))),Notional*MIN(NMonths,ROUNDUP(TarfTarget/10000/(Phi*(B23-TarfStrike))-1E-12,0))),Leverage*TotalN)*(1/TarfStrike-1/B23)))</f>
        <v>1.14282243001167</v>
      </c>
    </row>
    <row r="24" spans="1:8">
      <c r="A24" s="27">
        <f>-0.15+(ROW()-3)*0.005</f>
        <v>-0.045</v>
      </c>
      <c r="B24" s="25">
        <f>Spot*(1+A24)</f>
        <v>1.112575</v>
      </c>
      <c r="C24" s="25">
        <f>B24</f>
        <v>1.112575</v>
      </c>
      <c r="D24" s="25">
        <f>NMonths/SUMPRODUCT(Schedule!$B$3:$B$26/Schedule!$J$3:$J$26)</f>
        <v>1.17423756497129</v>
      </c>
      <c r="E24" s="25">
        <f>TotalN/ABS(Phi*TotalN/IF(Phi*(B24-Protect)&gt;0,Protect,B24)-PremFV)</f>
        <v>1.13356387437569</v>
      </c>
      <c r="F24" s="25">
        <f>MEDIAN(B24,Protect,Giveup)</f>
        <v>1.168888</v>
      </c>
      <c r="G24" s="25">
        <f>TotalN/ABS(Phi*NMonths*(Notional/B24+IF(Phi*(B24-PFStrike)&gt;0,1,1-Participation)*Notional*(1/PFStrike-1/B24)))</f>
        <v>1.15119425830938</v>
      </c>
      <c r="H24" s="25">
        <f>TotalN/ABS(Phi*(TotalN/B24+IF((Phi*(B24-TarfStrike))&gt;0,IF(KOType="exact",MIN(TotalN,Notional*TarfTarget/10000/(Phi*(B24-TarfStrike))),Notional*MIN(NMonths,ROUNDUP(TarfTarget/10000/(Phi*(B24-TarfStrike))-1E-12,0))),Leverage*TotalN)*(1/TarfStrike-1/B24)))</f>
        <v>1.13667727228745</v>
      </c>
    </row>
    <row r="25" spans="1:8">
      <c r="A25" s="27">
        <f>-0.15+(ROW()-3)*0.005</f>
        <v>-0.04</v>
      </c>
      <c r="B25" s="25">
        <f>Spot*(1+A25)</f>
        <v>1.1184</v>
      </c>
      <c r="C25" s="25">
        <f>B25</f>
        <v>1.1184</v>
      </c>
      <c r="D25" s="25">
        <f>NMonths/SUMPRODUCT(Schedule!$B$3:$B$26/Schedule!$J$3:$J$26)</f>
        <v>1.17423756497129</v>
      </c>
      <c r="E25" s="25">
        <f>TotalN/ABS(Phi*TotalN/IF(Phi*(B25-Protect)&gt;0,Protect,B25)-PremFV)</f>
        <v>1.13961132355144</v>
      </c>
      <c r="F25" s="25">
        <f>MEDIAN(B25,Protect,Giveup)</f>
        <v>1.168888</v>
      </c>
      <c r="G25" s="25">
        <f>TotalN/ABS(Phi*NMonths*(Notional/B25+IF(Phi*(B25-PFStrike)&gt;0,1,1-Participation)*Notional*(1/PFStrike-1/B25)))</f>
        <v>1.15430460300365</v>
      </c>
      <c r="H25" s="25">
        <f>TotalN/ABS(Phi*(TotalN/B25+IF((Phi*(B25-TarfStrike))&gt;0,IF(KOType="exact",MIN(TotalN,Notional*TarfTarget/10000/(Phi*(B25-TarfStrike))),Notional*MIN(NMonths,ROUNDUP(TarfTarget/10000/(Phi*(B25-TarfStrike))-1E-12,0))),Leverage*TotalN)*(1/TarfStrike-1/B25)))</f>
        <v>1.13066084043646</v>
      </c>
    </row>
    <row r="26" spans="1:8">
      <c r="A26" s="27">
        <f>-0.15+(ROW()-3)*0.005</f>
        <v>-0.035</v>
      </c>
      <c r="B26" s="25">
        <f>Spot*(1+A26)</f>
        <v>1.124225</v>
      </c>
      <c r="C26" s="25">
        <f>B26</f>
        <v>1.124225</v>
      </c>
      <c r="D26" s="25">
        <f>NMonths/SUMPRODUCT(Schedule!$B$3:$B$26/Schedule!$J$3:$J$26)</f>
        <v>1.17423756497129</v>
      </c>
      <c r="E26" s="25">
        <f>TotalN/ABS(Phi*TotalN/IF(Phi*(B26-Protect)&gt;0,Protect,B26)-PremFV)</f>
        <v>1.14565996758026</v>
      </c>
      <c r="F26" s="25">
        <f>MEDIAN(B26,Protect,Giveup)</f>
        <v>1.168888</v>
      </c>
      <c r="G26" s="25">
        <f>TotalN/ABS(Phi*NMonths*(Notional/B26+IF(Phi*(B26-PFStrike)&gt;0,1,1-Participation)*Notional*(1/PFStrike-1/B26)))</f>
        <v>1.1573993074763</v>
      </c>
      <c r="H26" s="25">
        <f>TotalN/ABS(Phi*(TotalN/B26+IF((Phi*(B26-TarfStrike))&gt;0,IF(KOType="exact",MIN(TotalN,Notional*TarfTarget/10000/(Phi*(B26-TarfStrike))),Notional*MIN(NMonths,ROUNDUP(TarfTarget/10000/(Phi*(B26-TarfStrike))-1E-12,0))),Leverage*TotalN)*(1/TarfStrike-1/B26)))</f>
        <v>1.12476913164963</v>
      </c>
    </row>
    <row r="27" spans="1:8">
      <c r="A27" s="27">
        <f>-0.15+(ROW()-3)*0.005</f>
        <v>-0.03</v>
      </c>
      <c r="B27" s="25">
        <f>Spot*(1+A27)</f>
        <v>1.13005</v>
      </c>
      <c r="C27" s="25">
        <f>B27</f>
        <v>1.13005</v>
      </c>
      <c r="D27" s="25">
        <f>NMonths/SUMPRODUCT(Schedule!$B$3:$B$26/Schedule!$J$3:$J$26)</f>
        <v>1.17423756497129</v>
      </c>
      <c r="E27" s="25">
        <f>TotalN/ABS(Phi*TotalN/IF(Phi*(B27-Protect)&gt;0,Protect,B27)-PremFV)</f>
        <v>1.15170980681631</v>
      </c>
      <c r="F27" s="25">
        <f>MEDIAN(B27,Protect,Giveup)</f>
        <v>1.168888</v>
      </c>
      <c r="G27" s="25">
        <f>TotalN/ABS(Phi*NMonths*(Notional/B27+IF(Phi*(B27-PFStrike)&gt;0,1,1-Participation)*Notional*(1/PFStrike-1/B27)))</f>
        <v>1.16047848940064</v>
      </c>
      <c r="H27" s="25">
        <f>TotalN/ABS(Phi*(TotalN/B27+IF((Phi*(B27-TarfStrike))&gt;0,IF(KOType="exact",MIN(TotalN,Notional*TarfTarget/10000/(Phi*(B27-TarfStrike))),Notional*MIN(NMonths,ROUNDUP(TarfTarget/10000/(Phi*(B27-TarfStrike))-1E-12,0))),Leverage*TotalN)*(1/TarfStrike-1/B27)))</f>
        <v>1.124497</v>
      </c>
    </row>
    <row r="28" spans="1:8">
      <c r="A28" s="27">
        <f>-0.15+(ROW()-3)*0.005</f>
        <v>-0.025</v>
      </c>
      <c r="B28" s="25">
        <f>Spot*(1+A28)</f>
        <v>1.135875</v>
      </c>
      <c r="C28" s="25">
        <f>B28</f>
        <v>1.135875</v>
      </c>
      <c r="D28" s="25">
        <f>NMonths/SUMPRODUCT(Schedule!$B$3:$B$26/Schedule!$J$3:$J$26)</f>
        <v>1.17423756497129</v>
      </c>
      <c r="E28" s="25">
        <f>TotalN/ABS(Phi*TotalN/IF(Phi*(B28-Protect)&gt;0,Protect,B28)-PremFV)</f>
        <v>1.15776084161388</v>
      </c>
      <c r="F28" s="25">
        <f>MEDIAN(B28,Protect,Giveup)</f>
        <v>1.168888</v>
      </c>
      <c r="G28" s="25">
        <f>TotalN/ABS(Phi*NMonths*(Notional/B28+IF(Phi*(B28-PFStrike)&gt;0,1,1-Participation)*Notional*(1/PFStrike-1/B28)))</f>
        <v>1.1635422652725</v>
      </c>
      <c r="H28" s="25">
        <f>TotalN/ABS(Phi*(TotalN/B28+IF((Phi*(B28-TarfStrike))&gt;0,IF(KOType="exact",MIN(TotalN,Notional*TarfTarget/10000/(Phi*(B28-TarfStrike))),Notional*MIN(NMonths,ROUNDUP(TarfTarget/10000/(Phi*(B28-TarfStrike))-1E-12,0))),Leverage*TotalN)*(1/TarfStrike-1/B28)))</f>
        <v>1.12732007644543</v>
      </c>
    </row>
    <row r="29" spans="1:8">
      <c r="A29" s="27">
        <f>-0.15+(ROW()-3)*0.005</f>
        <v>-0.02</v>
      </c>
      <c r="B29" s="25">
        <f>Spot*(1+A29)</f>
        <v>1.1417</v>
      </c>
      <c r="C29" s="25">
        <f>B29</f>
        <v>1.1417</v>
      </c>
      <c r="D29" s="25">
        <f>NMonths/SUMPRODUCT(Schedule!$B$3:$B$26/Schedule!$J$3:$J$26)</f>
        <v>1.17423756497129</v>
      </c>
      <c r="E29" s="25">
        <f>TotalN/ABS(Phi*TotalN/IF(Phi*(B29-Protect)&gt;0,Protect,B29)-PremFV)</f>
        <v>1.16381307232741</v>
      </c>
      <c r="F29" s="25">
        <f>MEDIAN(B29,Protect,Giveup)</f>
        <v>1.168888</v>
      </c>
      <c r="G29" s="25">
        <f>TotalN/ABS(Phi*NMonths*(Notional/B29+IF(Phi*(B29-PFStrike)&gt;0,1,1-Participation)*Notional*(1/PFStrike-1/B29)))</f>
        <v>1.16659075042486</v>
      </c>
      <c r="H29" s="25">
        <f>TotalN/ABS(Phi*(TotalN/B29+IF((Phi*(B29-TarfStrike))&gt;0,IF(KOType="exact",MIN(TotalN,Notional*TarfTarget/10000/(Phi*(B29-TarfStrike))),Notional*MIN(NMonths,ROUNDUP(TarfTarget/10000/(Phi*(B29-TarfStrike))-1E-12,0))),Leverage*TotalN)*(1/TarfStrike-1/B29)))</f>
        <v>1.13303320488025</v>
      </c>
    </row>
    <row r="30" spans="1:8">
      <c r="A30" s="27">
        <f>-0.15+(ROW()-3)*0.005</f>
        <v>-0.015</v>
      </c>
      <c r="B30" s="25">
        <f>Spot*(1+A30)</f>
        <v>1.147525</v>
      </c>
      <c r="C30" s="25">
        <f>B30</f>
        <v>1.147525</v>
      </c>
      <c r="D30" s="25">
        <f>NMonths/SUMPRODUCT(Schedule!$B$3:$B$26/Schedule!$J$3:$J$26)</f>
        <v>1.17423756497129</v>
      </c>
      <c r="E30" s="25">
        <f>TotalN/ABS(Phi*TotalN/IF(Phi*(B30-Protect)&gt;0,Protect,B30)-PremFV)</f>
        <v>1.16986649931147</v>
      </c>
      <c r="F30" s="25">
        <f>MEDIAN(B30,Protect,Giveup)</f>
        <v>1.168888</v>
      </c>
      <c r="G30" s="25">
        <f>TotalN/ABS(Phi*NMonths*(Notional/B30+IF(Phi*(B30-PFStrike)&gt;0,1,1-Participation)*Notional*(1/PFStrike-1/B30)))</f>
        <v>1.16962405904237</v>
      </c>
      <c r="H30" s="25">
        <f>TotalN/ABS(Phi*(TotalN/B30+IF((Phi*(B30-TarfStrike))&gt;0,IF(KOType="exact",MIN(TotalN,Notional*TarfTarget/10000/(Phi*(B30-TarfStrike))),Notional*MIN(NMonths,ROUNDUP(TarfTarget/10000/(Phi*(B30-TarfStrike))-1E-12,0))),Leverage*TotalN)*(1/TarfStrike-1/B30)))</f>
        <v>1.13781634993016</v>
      </c>
    </row>
    <row r="31" spans="1:8">
      <c r="A31" s="27">
        <f>-0.15+(ROW()-3)*0.005</f>
        <v>-0.00999999999999998</v>
      </c>
      <c r="B31" s="25">
        <f>Spot*(1+A31)</f>
        <v>1.15335</v>
      </c>
      <c r="C31" s="25">
        <f>B31</f>
        <v>1.15335</v>
      </c>
      <c r="D31" s="25">
        <f>NMonths/SUMPRODUCT(Schedule!$B$3:$B$26/Schedule!$J$3:$J$26)</f>
        <v>1.17423756497129</v>
      </c>
      <c r="E31" s="25">
        <f>TotalN/ABS(Phi*TotalN/IF(Phi*(B31-Protect)&gt;0,Protect,B31)-PremFV)</f>
        <v>1.17592112292077</v>
      </c>
      <c r="F31" s="25">
        <f>MEDIAN(B31,Protect,Giveup)</f>
        <v>1.168888</v>
      </c>
      <c r="G31" s="25">
        <f>TotalN/ABS(Phi*NMonths*(Notional/B31+IF(Phi*(B31-PFStrike)&gt;0,1,1-Participation)*Notional*(1/PFStrike-1/B31)))</f>
        <v>1.1726423041756</v>
      </c>
      <c r="H31" s="25">
        <f>TotalN/ABS(Phi*(TotalN/B31+IF((Phi*(B31-TarfStrike))&gt;0,IF(KOType="exact",MIN(TotalN,Notional*TarfTarget/10000/(Phi*(B31-TarfStrike))),Notional*MIN(NMonths,ROUNDUP(TarfTarget/10000/(Phi*(B31-TarfStrike))-1E-12,0))),Leverage*TotalN)*(1/TarfStrike-1/B31)))</f>
        <v>1.1435692113584</v>
      </c>
    </row>
    <row r="32" spans="1:8">
      <c r="A32" s="27">
        <f>-0.15+(ROW()-3)*0.005</f>
        <v>-0.005</v>
      </c>
      <c r="B32" s="25">
        <f>Spot*(1+A32)</f>
        <v>1.159175</v>
      </c>
      <c r="C32" s="25">
        <f>B32</f>
        <v>1.159175</v>
      </c>
      <c r="D32" s="25">
        <f>NMonths/SUMPRODUCT(Schedule!$B$3:$B$26/Schedule!$J$3:$J$26)</f>
        <v>1.17423756497129</v>
      </c>
      <c r="E32" s="25">
        <f>TotalN/ABS(Phi*TotalN/IF(Phi*(B32-Protect)&gt;0,Protect,B32)-PremFV)</f>
        <v>1.18197694351016</v>
      </c>
      <c r="F32" s="25">
        <f>MEDIAN(B32,Protect,Giveup)</f>
        <v>1.168888</v>
      </c>
      <c r="G32" s="25">
        <f>TotalN/ABS(Phi*NMonths*(Notional/B32+IF(Phi*(B32-PFStrike)&gt;0,1,1-Participation)*Notional*(1/PFStrike-1/B32)))</f>
        <v>1.17564559775505</v>
      </c>
      <c r="H32" s="25">
        <f>TotalN/ABS(Phi*(TotalN/B32+IF((Phi*(B32-TarfStrike))&gt;0,IF(KOType="exact",MIN(TotalN,Notional*TarfTarget/10000/(Phi*(B32-TarfStrike))),Notional*MIN(NMonths,ROUNDUP(TarfTarget/10000/(Phi*(B32-TarfStrike))-1E-12,0))),Leverage*TotalN)*(1/TarfStrike-1/B32)))</f>
        <v>1.15030651715789</v>
      </c>
    </row>
    <row r="33" spans="1:8">
      <c r="A33" s="27">
        <f>-0.15+(ROW()-3)*0.005</f>
        <v>0</v>
      </c>
      <c r="B33" s="25">
        <f>Spot*(1+A33)</f>
        <v>1.165</v>
      </c>
      <c r="C33" s="25">
        <f>B33</f>
        <v>1.165</v>
      </c>
      <c r="D33" s="25">
        <f>NMonths/SUMPRODUCT(Schedule!$B$3:$B$26/Schedule!$J$3:$J$26)</f>
        <v>1.17423756497129</v>
      </c>
      <c r="E33" s="25">
        <f>TotalN/ABS(Phi*TotalN/IF(Phi*(B33-Protect)&gt;0,Protect,B33)-PremFV)</f>
        <v>1.18803396143465</v>
      </c>
      <c r="F33" s="25">
        <f>MEDIAN(B33,Protect,Giveup)</f>
        <v>1.168888</v>
      </c>
      <c r="G33" s="25">
        <f>TotalN/ABS(Phi*NMonths*(Notional/B33+IF(Phi*(B33-PFStrike)&gt;0,1,1-Participation)*Notional*(1/PFStrike-1/B33)))</f>
        <v>1.17863405060505</v>
      </c>
      <c r="H33" s="25">
        <f>TotalN/ABS(Phi*(TotalN/B33+IF((Phi*(B33-TarfStrike))&gt;0,IF(KOType="exact",MIN(TotalN,Notional*TarfTarget/10000/(Phi*(B33-TarfStrike))),Notional*MIN(NMonths,ROUNDUP(TarfTarget/10000/(Phi*(B33-TarfStrike))-1E-12,0))),Leverage*TotalN)*(1/TarfStrike-1/B33)))</f>
        <v>1.15460315333885</v>
      </c>
    </row>
    <row r="34" spans="1:8">
      <c r="A34" s="27">
        <f>-0.15+(ROW()-3)*0.005</f>
        <v>0.005</v>
      </c>
      <c r="B34" s="25">
        <f>Spot*(1+A34)</f>
        <v>1.170825</v>
      </c>
      <c r="C34" s="25">
        <f>B34</f>
        <v>1.170825</v>
      </c>
      <c r="D34" s="25">
        <f>NMonths/SUMPRODUCT(Schedule!$B$3:$B$26/Schedule!$J$3:$J$26)</f>
        <v>1.17423756497129</v>
      </c>
      <c r="E34" s="25">
        <f>TotalN/ABS(Phi*TotalN/IF(Phi*(B34-Protect)&gt;0,Protect,B34)-PremFV)</f>
        <v>1.19409217704936</v>
      </c>
      <c r="F34" s="25">
        <f>MEDIAN(B34,Protect,Giveup)</f>
        <v>1.170825</v>
      </c>
      <c r="G34" s="25">
        <f>TotalN/ABS(Phi*NMonths*(Notional/B34+IF(Phi*(B34-PFStrike)&gt;0,1,1-Participation)*Notional*(1/PFStrike-1/B34)))</f>
        <v>1.18160777245732</v>
      </c>
      <c r="H34" s="25">
        <f>TotalN/ABS(Phi*(TotalN/B34+IF((Phi*(B34-TarfStrike))&gt;0,IF(KOType="exact",MIN(TotalN,Notional*TarfTarget/10000/(Phi*(B34-TarfStrike))),Notional*MIN(NMonths,ROUNDUP(TarfTarget/10000/(Phi*(B34-TarfStrike))-1E-12,0))),Leverage*TotalN)*(1/TarfStrike-1/B34)))</f>
        <v>1.15888877448223</v>
      </c>
    </row>
    <row r="35" spans="1:8">
      <c r="A35" s="27">
        <f>-0.15+(ROW()-3)*0.005</f>
        <v>0.01</v>
      </c>
      <c r="B35" s="25">
        <f>Spot*(1+A35)</f>
        <v>1.17665</v>
      </c>
      <c r="C35" s="25">
        <f>B35</f>
        <v>1.17665</v>
      </c>
      <c r="D35" s="25">
        <f>NMonths/SUMPRODUCT(Schedule!$B$3:$B$26/Schedule!$J$3:$J$26)</f>
        <v>1.17423756497129</v>
      </c>
      <c r="E35" s="25">
        <f>TotalN/ABS(Phi*TotalN/IF(Phi*(B35-Protect)&gt;0,Protect,B35)-PremFV)</f>
        <v>1.20015159070956</v>
      </c>
      <c r="F35" s="25">
        <f>MEDIAN(B35,Protect,Giveup)</f>
        <v>1.17665</v>
      </c>
      <c r="G35" s="25">
        <f>TotalN/ABS(Phi*NMonths*(Notional/B35+IF(Phi*(B35-PFStrike)&gt;0,1,1-Participation)*Notional*(1/PFStrike-1/B35)))</f>
        <v>1.18456687196448</v>
      </c>
      <c r="H35" s="25">
        <f>TotalN/ABS(Phi*(TotalN/B35+IF((Phi*(B35-TarfStrike))&gt;0,IF(KOType="exact",MIN(TotalN,Notional*TarfTarget/10000/(Phi*(B35-TarfStrike))),Notional*MIN(NMonths,ROUNDUP(TarfTarget/10000/(Phi*(B35-TarfStrike))-1E-12,0))),Leverage*TotalN)*(1/TarfStrike-1/B35)))</f>
        <v>1.16762446550922</v>
      </c>
    </row>
    <row r="36" spans="1:8">
      <c r="A36" s="27">
        <f>-0.15+(ROW()-3)*0.005</f>
        <v>0.015</v>
      </c>
      <c r="B36" s="25">
        <f>Spot*(1+A36)</f>
        <v>1.182475</v>
      </c>
      <c r="C36" s="25">
        <f>B36</f>
        <v>1.182475</v>
      </c>
      <c r="D36" s="25">
        <f>NMonths/SUMPRODUCT(Schedule!$B$3:$B$26/Schedule!$J$3:$J$26)</f>
        <v>1.17423756497129</v>
      </c>
      <c r="E36" s="25">
        <f>TotalN/ABS(Phi*TotalN/IF(Phi*(B36-Protect)&gt;0,Protect,B36)-PremFV)</f>
        <v>1.2036369464822</v>
      </c>
      <c r="F36" s="25">
        <f>MEDIAN(B36,Protect,Giveup)</f>
        <v>1.18</v>
      </c>
      <c r="G36" s="25">
        <f>TotalN/ABS(Phi*NMonths*(Notional/B36+IF(Phi*(B36-PFStrike)&gt;0,1,1-Participation)*Notional*(1/PFStrike-1/B36)))</f>
        <v>1.1875114567132</v>
      </c>
      <c r="H36" s="25">
        <f>TotalN/ABS(Phi*(TotalN/B36+IF((Phi*(B36-TarfStrike))&gt;0,IF(KOType="exact",MIN(TotalN,Notional*TarfTarget/10000/(Phi*(B36-TarfStrike))),Notional*MIN(NMonths,ROUNDUP(TarfTarget/10000/(Phi*(B36-TarfStrike))-1E-12,0))),Leverage*TotalN)*(1/TarfStrike-1/B36)))</f>
        <v>1.17240035804031</v>
      </c>
    </row>
    <row r="37" spans="1:8">
      <c r="A37" s="27">
        <f>-0.15+(ROW()-3)*0.005</f>
        <v>0.02</v>
      </c>
      <c r="B37" s="25">
        <f>Spot*(1+A37)</f>
        <v>1.1883</v>
      </c>
      <c r="C37" s="25">
        <f>B37</f>
        <v>1.1883</v>
      </c>
      <c r="D37" s="25">
        <f>NMonths/SUMPRODUCT(Schedule!$B$3:$B$26/Schedule!$J$3:$J$26)</f>
        <v>1.17423756497129</v>
      </c>
      <c r="E37" s="25">
        <f>TotalN/ABS(Phi*TotalN/IF(Phi*(B37-Protect)&gt;0,Protect,B37)-PremFV)</f>
        <v>1.2036369464822</v>
      </c>
      <c r="F37" s="25">
        <f>MEDIAN(B37,Protect,Giveup)</f>
        <v>1.18</v>
      </c>
      <c r="G37" s="25">
        <f>TotalN/ABS(Phi*NMonths*(Notional/B37+IF(Phi*(B37-PFStrike)&gt;0,1,1-Participation)*Notional*(1/PFStrike-1/B37)))</f>
        <v>1.19044163323731</v>
      </c>
      <c r="H37" s="25">
        <f>TotalN/ABS(Phi*(TotalN/B37+IF((Phi*(B37-TarfStrike))&gt;0,IF(KOType="exact",MIN(TotalN,Notional*TarfTarget/10000/(Phi*(B37-TarfStrike))),Notional*MIN(NMonths,ROUNDUP(TarfTarget/10000/(Phi*(B37-TarfStrike))-1E-12,0))),Leverage*TotalN)*(1/TarfStrike-1/B37)))</f>
        <v>1.17716808130047</v>
      </c>
    </row>
    <row r="38" spans="1:8">
      <c r="A38" s="27">
        <f>-0.15+(ROW()-3)*0.005</f>
        <v>0.025</v>
      </c>
      <c r="B38" s="25">
        <f>Spot*(1+A38)</f>
        <v>1.194125</v>
      </c>
      <c r="C38" s="25">
        <f>B38</f>
        <v>1.194125</v>
      </c>
      <c r="D38" s="25">
        <f>NMonths/SUMPRODUCT(Schedule!$B$3:$B$26/Schedule!$J$3:$J$26)</f>
        <v>1.17423756497129</v>
      </c>
      <c r="E38" s="25">
        <f>TotalN/ABS(Phi*TotalN/IF(Phi*(B38-Protect)&gt;0,Protect,B38)-PremFV)</f>
        <v>1.2036369464822</v>
      </c>
      <c r="F38" s="25">
        <f>MEDIAN(B38,Protect,Giveup)</f>
        <v>1.18</v>
      </c>
      <c r="G38" s="25">
        <f>TotalN/ABS(Phi*NMonths*(Notional/B38+IF(Phi*(B38-PFStrike)&gt;0,1,1-Participation)*Notional*(1/PFStrike-1/B38)))</f>
        <v>1.192591</v>
      </c>
      <c r="H38" s="25">
        <f>TotalN/ABS(Phi*(TotalN/B38+IF((Phi*(B38-TarfStrike))&gt;0,IF(KOType="exact",MIN(TotalN,Notional*TarfTarget/10000/(Phi*(B38-TarfStrike))),Notional*MIN(NMonths,ROUNDUP(TarfTarget/10000/(Phi*(B38-TarfStrike))-1E-12,0))),Leverage*TotalN)*(1/TarfStrike-1/B38)))</f>
        <v>1.18192765623235</v>
      </c>
    </row>
    <row r="39" spans="1:8">
      <c r="A39" s="27">
        <f>-0.15+(ROW()-3)*0.005</f>
        <v>0.03</v>
      </c>
      <c r="B39" s="25">
        <f>Spot*(1+A39)</f>
        <v>1.19995</v>
      </c>
      <c r="C39" s="25">
        <f>B39</f>
        <v>1.19995</v>
      </c>
      <c r="D39" s="25">
        <f>NMonths/SUMPRODUCT(Schedule!$B$3:$B$26/Schedule!$J$3:$J$26)</f>
        <v>1.17423756497129</v>
      </c>
      <c r="E39" s="25">
        <f>TotalN/ABS(Phi*TotalN/IF(Phi*(B39-Protect)&gt;0,Protect,B39)-PremFV)</f>
        <v>1.2036369464822</v>
      </c>
      <c r="F39" s="25">
        <f>MEDIAN(B39,Protect,Giveup)</f>
        <v>1.18</v>
      </c>
      <c r="G39" s="25">
        <f>TotalN/ABS(Phi*NMonths*(Notional/B39+IF(Phi*(B39-PFStrike)&gt;0,1,1-Participation)*Notional*(1/PFStrike-1/B39)))</f>
        <v>1.192591</v>
      </c>
      <c r="H39" s="25">
        <f>TotalN/ABS(Phi*(TotalN/B39+IF((Phi*(B39-TarfStrike))&gt;0,IF(KOType="exact",MIN(TotalN,Notional*TarfTarget/10000/(Phi*(B39-TarfStrike))),Notional*MIN(NMonths,ROUNDUP(TarfTarget/10000/(Phi*(B39-TarfStrike))-1E-12,0))),Leverage*TotalN)*(1/TarfStrike-1/B39)))</f>
        <v>1.18667910370711</v>
      </c>
    </row>
    <row r="40" spans="1:8">
      <c r="A40" s="27">
        <f>-0.15+(ROW()-3)*0.005</f>
        <v>0.035</v>
      </c>
      <c r="B40" s="25">
        <f>Spot*(1+A40)</f>
        <v>1.205775</v>
      </c>
      <c r="C40" s="25">
        <f>B40</f>
        <v>1.205775</v>
      </c>
      <c r="D40" s="25">
        <f>NMonths/SUMPRODUCT(Schedule!$B$3:$B$26/Schedule!$J$3:$J$26)</f>
        <v>1.17423756497129</v>
      </c>
      <c r="E40" s="25">
        <f>TotalN/ABS(Phi*TotalN/IF(Phi*(B40-Protect)&gt;0,Protect,B40)-PremFV)</f>
        <v>1.2036369464822</v>
      </c>
      <c r="F40" s="25">
        <f>MEDIAN(B40,Protect,Giveup)</f>
        <v>1.18</v>
      </c>
      <c r="G40" s="25">
        <f>TotalN/ABS(Phi*NMonths*(Notional/B40+IF(Phi*(B40-PFStrike)&gt;0,1,1-Participation)*Notional*(1/PFStrike-1/B40)))</f>
        <v>1.192591</v>
      </c>
      <c r="H40" s="25">
        <f>TotalN/ABS(Phi*(TotalN/B40+IF((Phi*(B40-TarfStrike))&gt;0,IF(KOType="exact",MIN(TotalN,Notional*TarfTarget/10000/(Phi*(B40-TarfStrike))),Notional*MIN(NMonths,ROUNDUP(TarfTarget/10000/(Phi*(B40-TarfStrike))-1E-12,0))),Leverage*TotalN)*(1/TarfStrike-1/B40)))</f>
        <v>1.19142244452467</v>
      </c>
    </row>
    <row r="41" spans="1:8">
      <c r="A41" s="27">
        <f>-0.15+(ROW()-3)*0.005</f>
        <v>0.04</v>
      </c>
      <c r="B41" s="25">
        <f>Spot*(1+A41)</f>
        <v>1.2116</v>
      </c>
      <c r="C41" s="25">
        <f>B41</f>
        <v>1.2116</v>
      </c>
      <c r="D41" s="25">
        <f>NMonths/SUMPRODUCT(Schedule!$B$3:$B$26/Schedule!$J$3:$J$26)</f>
        <v>1.17423756497129</v>
      </c>
      <c r="E41" s="25">
        <f>TotalN/ABS(Phi*TotalN/IF(Phi*(B41-Protect)&gt;0,Protect,B41)-PremFV)</f>
        <v>1.2036369464822</v>
      </c>
      <c r="F41" s="25">
        <f>MEDIAN(B41,Protect,Giveup)</f>
        <v>1.18</v>
      </c>
      <c r="G41" s="25">
        <f>TotalN/ABS(Phi*NMonths*(Notional/B41+IF(Phi*(B41-PFStrike)&gt;0,1,1-Participation)*Notional*(1/PFStrike-1/B41)))</f>
        <v>1.192591</v>
      </c>
      <c r="H41" s="25">
        <f>TotalN/ABS(Phi*(TotalN/B41+IF((Phi*(B41-TarfStrike))&gt;0,IF(KOType="exact",MIN(TotalN,Notional*TarfTarget/10000/(Phi*(B41-TarfStrike))),Notional*MIN(NMonths,ROUNDUP(TarfTarget/10000/(Phi*(B41-TarfStrike))-1E-12,0))),Leverage*TotalN)*(1/TarfStrike-1/B41)))</f>
        <v>1.19615769941404</v>
      </c>
    </row>
    <row r="42" spans="1:8">
      <c r="A42" s="27">
        <f>-0.15+(ROW()-3)*0.005</f>
        <v>0.045</v>
      </c>
      <c r="B42" s="25">
        <f>Spot*(1+A42)</f>
        <v>1.217425</v>
      </c>
      <c r="C42" s="25">
        <f>B42</f>
        <v>1.217425</v>
      </c>
      <c r="D42" s="25">
        <f>NMonths/SUMPRODUCT(Schedule!$B$3:$B$26/Schedule!$J$3:$J$26)</f>
        <v>1.17423756497129</v>
      </c>
      <c r="E42" s="25">
        <f>TotalN/ABS(Phi*TotalN/IF(Phi*(B42-Protect)&gt;0,Protect,B42)-PremFV)</f>
        <v>1.2036369464822</v>
      </c>
      <c r="F42" s="25">
        <f>MEDIAN(B42,Protect,Giveup)</f>
        <v>1.18</v>
      </c>
      <c r="G42" s="25">
        <f>TotalN/ABS(Phi*NMonths*(Notional/B42+IF(Phi*(B42-PFStrike)&gt;0,1,1-Participation)*Notional*(1/PFStrike-1/B42)))</f>
        <v>1.192591</v>
      </c>
      <c r="H42" s="25">
        <f>TotalN/ABS(Phi*(TotalN/B42+IF((Phi*(B42-TarfStrike))&gt;0,IF(KOType="exact",MIN(TotalN,Notional*TarfTarget/10000/(Phi*(B42-TarfStrike))),Notional*MIN(NMonths,ROUNDUP(TarfTarget/10000/(Phi*(B42-TarfStrike))-1E-12,0))),Leverage*TotalN)*(1/TarfStrike-1/B42)))</f>
        <v>1.20088488903363</v>
      </c>
    </row>
    <row r="43" spans="1:8">
      <c r="A43" s="27">
        <f>-0.15+(ROW()-3)*0.005</f>
        <v>0.05</v>
      </c>
      <c r="B43" s="25">
        <f>Spot*(1+A43)</f>
        <v>1.22325</v>
      </c>
      <c r="C43" s="25">
        <f>B43</f>
        <v>1.22325</v>
      </c>
      <c r="D43" s="25">
        <f>NMonths/SUMPRODUCT(Schedule!$B$3:$B$26/Schedule!$J$3:$J$26)</f>
        <v>1.17423756497129</v>
      </c>
      <c r="E43" s="25">
        <f>TotalN/ABS(Phi*TotalN/IF(Phi*(B43-Protect)&gt;0,Protect,B43)-PremFV)</f>
        <v>1.2036369464822</v>
      </c>
      <c r="F43" s="25">
        <f>MEDIAN(B43,Protect,Giveup)</f>
        <v>1.18</v>
      </c>
      <c r="G43" s="25">
        <f>TotalN/ABS(Phi*NMonths*(Notional/B43+IF(Phi*(B43-PFStrike)&gt;0,1,1-Participation)*Notional*(1/PFStrike-1/B43)))</f>
        <v>1.192591</v>
      </c>
      <c r="H43" s="25">
        <f>TotalN/ABS(Phi*(TotalN/B43+IF((Phi*(B43-TarfStrike))&gt;0,IF(KOType="exact",MIN(TotalN,Notional*TarfTarget/10000/(Phi*(B43-TarfStrike))),Notional*MIN(NMonths,ROUNDUP(TarfTarget/10000/(Phi*(B43-TarfStrike))-1E-12,0))),Leverage*TotalN)*(1/TarfStrike-1/B43)))</f>
        <v>1.20560403397152</v>
      </c>
    </row>
    <row r="44" spans="1:8">
      <c r="A44" s="27">
        <f>-0.15+(ROW()-3)*0.005</f>
        <v>0.055</v>
      </c>
      <c r="B44" s="25">
        <f>Spot*(1+A44)</f>
        <v>1.229075</v>
      </c>
      <c r="C44" s="25">
        <f>B44</f>
        <v>1.229075</v>
      </c>
      <c r="D44" s="25">
        <f>NMonths/SUMPRODUCT(Schedule!$B$3:$B$26/Schedule!$J$3:$J$26)</f>
        <v>1.17423756497129</v>
      </c>
      <c r="E44" s="25">
        <f>TotalN/ABS(Phi*TotalN/IF(Phi*(B44-Protect)&gt;0,Protect,B44)-PremFV)</f>
        <v>1.2036369464822</v>
      </c>
      <c r="F44" s="25">
        <f>MEDIAN(B44,Protect,Giveup)</f>
        <v>1.18</v>
      </c>
      <c r="G44" s="25">
        <f>TotalN/ABS(Phi*NMonths*(Notional/B44+IF(Phi*(B44-PFStrike)&gt;0,1,1-Participation)*Notional*(1/PFStrike-1/B44)))</f>
        <v>1.192591</v>
      </c>
      <c r="H44" s="25">
        <f>TotalN/ABS(Phi*(TotalN/B44+IF((Phi*(B44-TarfStrike))&gt;0,IF(KOType="exact",MIN(TotalN,Notional*TarfTarget/10000/(Phi*(B44-TarfStrike))),Notional*MIN(NMonths,ROUNDUP(TarfTarget/10000/(Phi*(B44-TarfStrike))-1E-12,0))),Leverage*TotalN)*(1/TarfStrike-1/B44)))</f>
        <v>1.21962294217277</v>
      </c>
    </row>
    <row r="45" spans="1:8">
      <c r="A45" s="27">
        <f>-0.15+(ROW()-3)*0.005</f>
        <v>0.06</v>
      </c>
      <c r="B45" s="25">
        <f>Spot*(1+A45)</f>
        <v>1.2349</v>
      </c>
      <c r="C45" s="25">
        <f>B45</f>
        <v>1.2349</v>
      </c>
      <c r="D45" s="25">
        <f>NMonths/SUMPRODUCT(Schedule!$B$3:$B$26/Schedule!$J$3:$J$26)</f>
        <v>1.17423756497129</v>
      </c>
      <c r="E45" s="25">
        <f>TotalN/ABS(Phi*TotalN/IF(Phi*(B45-Protect)&gt;0,Protect,B45)-PremFV)</f>
        <v>1.2036369464822</v>
      </c>
      <c r="F45" s="25">
        <f>MEDIAN(B45,Protect,Giveup)</f>
        <v>1.18</v>
      </c>
      <c r="G45" s="25">
        <f>TotalN/ABS(Phi*NMonths*(Notional/B45+IF(Phi*(B45-PFStrike)&gt;0,1,1-Participation)*Notional*(1/PFStrike-1/B45)))</f>
        <v>1.192591</v>
      </c>
      <c r="H45" s="25">
        <f>TotalN/ABS(Phi*(TotalN/B45+IF((Phi*(B45-TarfStrike))&gt;0,IF(KOType="exact",MIN(TotalN,Notional*TarfTarget/10000/(Phi*(B45-TarfStrike))),Notional*MIN(NMonths,ROUNDUP(TarfTarget/10000/(Phi*(B45-TarfStrike))-1E-12,0))),Leverage*TotalN)*(1/TarfStrike-1/B45)))</f>
        <v>1.22487846318759</v>
      </c>
    </row>
    <row r="46" spans="1:8">
      <c r="A46" s="27">
        <f>-0.15+(ROW()-3)*0.005</f>
        <v>0.065</v>
      </c>
      <c r="B46" s="25">
        <f>Spot*(1+A46)</f>
        <v>1.240725</v>
      </c>
      <c r="C46" s="25">
        <f>B46</f>
        <v>1.240725</v>
      </c>
      <c r="D46" s="25">
        <f>NMonths/SUMPRODUCT(Schedule!$B$3:$B$26/Schedule!$J$3:$J$26)</f>
        <v>1.17423756497129</v>
      </c>
      <c r="E46" s="25">
        <f>TotalN/ABS(Phi*TotalN/IF(Phi*(B46-Protect)&gt;0,Protect,B46)-PremFV)</f>
        <v>1.2036369464822</v>
      </c>
      <c r="F46" s="25">
        <f>MEDIAN(B46,Protect,Giveup)</f>
        <v>1.18</v>
      </c>
      <c r="G46" s="25">
        <f>TotalN/ABS(Phi*NMonths*(Notional/B46+IF(Phi*(B46-PFStrike)&gt;0,1,1-Participation)*Notional*(1/PFStrike-1/B46)))</f>
        <v>1.192591</v>
      </c>
      <c r="H46" s="25">
        <f>TotalN/ABS(Phi*(TotalN/B46+IF((Phi*(B46-TarfStrike))&gt;0,IF(KOType="exact",MIN(TotalN,Notional*TarfTarget/10000/(Phi*(B46-TarfStrike))),Notional*MIN(NMonths,ROUNDUP(TarfTarget/10000/(Phi*(B46-TarfStrike))-1E-12,0))),Leverage*TotalN)*(1/TarfStrike-1/B46)))</f>
        <v>1.23012948560167</v>
      </c>
    </row>
    <row r="47" spans="1:8">
      <c r="A47" s="27">
        <f>-0.15+(ROW()-3)*0.005</f>
        <v>0.07</v>
      </c>
      <c r="B47" s="25">
        <f>Spot*(1+A47)</f>
        <v>1.24655</v>
      </c>
      <c r="C47" s="25">
        <f>B47</f>
        <v>1.24655</v>
      </c>
      <c r="D47" s="25">
        <f>NMonths/SUMPRODUCT(Schedule!$B$3:$B$26/Schedule!$J$3:$J$26)</f>
        <v>1.17423756497129</v>
      </c>
      <c r="E47" s="25">
        <f>TotalN/ABS(Phi*TotalN/IF(Phi*(B47-Protect)&gt;0,Protect,B47)-PremFV)</f>
        <v>1.2036369464822</v>
      </c>
      <c r="F47" s="25">
        <f>MEDIAN(B47,Protect,Giveup)</f>
        <v>1.18</v>
      </c>
      <c r="G47" s="25">
        <f>TotalN/ABS(Phi*NMonths*(Notional/B47+IF(Phi*(B47-PFStrike)&gt;0,1,1-Participation)*Notional*(1/PFStrike-1/B47)))</f>
        <v>1.192591</v>
      </c>
      <c r="H47" s="25">
        <f>TotalN/ABS(Phi*(TotalN/B47+IF((Phi*(B47-TarfStrike))&gt;0,IF(KOType="exact",MIN(TotalN,Notional*TarfTarget/10000/(Phi*(B47-TarfStrike))),Notional*MIN(NMonths,ROUNDUP(TarfTarget/10000/(Phi*(B47-TarfStrike))-1E-12,0))),Leverage*TotalN)*(1/TarfStrike-1/B47)))</f>
        <v>1.23537601518858</v>
      </c>
    </row>
    <row r="48" spans="1:8">
      <c r="A48" s="27">
        <f>-0.15+(ROW()-3)*0.005</f>
        <v>0.075</v>
      </c>
      <c r="B48" s="25">
        <f>Spot*(1+A48)</f>
        <v>1.252375</v>
      </c>
      <c r="C48" s="25">
        <f>B48</f>
        <v>1.252375</v>
      </c>
      <c r="D48" s="25">
        <f>NMonths/SUMPRODUCT(Schedule!$B$3:$B$26/Schedule!$J$3:$J$26)</f>
        <v>1.17423756497129</v>
      </c>
      <c r="E48" s="25">
        <f>TotalN/ABS(Phi*TotalN/IF(Phi*(B48-Protect)&gt;0,Protect,B48)-PremFV)</f>
        <v>1.2036369464822</v>
      </c>
      <c r="F48" s="25">
        <f>MEDIAN(B48,Protect,Giveup)</f>
        <v>1.18</v>
      </c>
      <c r="G48" s="25">
        <f>TotalN/ABS(Phi*NMonths*(Notional/B48+IF(Phi*(B48-PFStrike)&gt;0,1,1-Participation)*Notional*(1/PFStrike-1/B48)))</f>
        <v>1.192591</v>
      </c>
      <c r="H48" s="25">
        <f>TotalN/ABS(Phi*(TotalN/B48+IF((Phi*(B48-TarfStrike))&gt;0,IF(KOType="exact",MIN(TotalN,Notional*TarfTarget/10000/(Phi*(B48-TarfStrike))),Notional*MIN(NMonths,ROUNDUP(TarfTarget/10000/(Phi*(B48-TarfStrike))-1E-12,0))),Leverage*TotalN)*(1/TarfStrike-1/B48)))</f>
        <v>1.24061805771202</v>
      </c>
    </row>
    <row r="49" spans="1:8">
      <c r="A49" s="27">
        <f>-0.15+(ROW()-3)*0.005</f>
        <v>0.08</v>
      </c>
      <c r="B49" s="25">
        <f>Spot*(1+A49)</f>
        <v>1.2582</v>
      </c>
      <c r="C49" s="25">
        <f>B49</f>
        <v>1.2582</v>
      </c>
      <c r="D49" s="25">
        <f>NMonths/SUMPRODUCT(Schedule!$B$3:$B$26/Schedule!$J$3:$J$26)</f>
        <v>1.17423756497129</v>
      </c>
      <c r="E49" s="25">
        <f>TotalN/ABS(Phi*TotalN/IF(Phi*(B49-Protect)&gt;0,Protect,B49)-PremFV)</f>
        <v>1.2036369464822</v>
      </c>
      <c r="F49" s="25">
        <f>MEDIAN(B49,Protect,Giveup)</f>
        <v>1.18</v>
      </c>
      <c r="G49" s="25">
        <f>TotalN/ABS(Phi*NMonths*(Notional/B49+IF(Phi*(B49-PFStrike)&gt;0,1,1-Participation)*Notional*(1/PFStrike-1/B49)))</f>
        <v>1.192591</v>
      </c>
      <c r="H49" s="25">
        <f>TotalN/ABS(Phi*(TotalN/B49+IF((Phi*(B49-TarfStrike))&gt;0,IF(KOType="exact",MIN(TotalN,Notional*TarfTarget/10000/(Phi*(B49-TarfStrike))),Notional*MIN(NMonths,ROUNDUP(TarfTarget/10000/(Phi*(B49-TarfStrike))-1E-12,0))),Leverage*TotalN)*(1/TarfStrike-1/B49)))</f>
        <v>1.24585561892582</v>
      </c>
    </row>
    <row r="50" spans="1:8">
      <c r="A50" s="27">
        <f>-0.15+(ROW()-3)*0.005</f>
        <v>0.085</v>
      </c>
      <c r="B50" s="25">
        <f>Spot*(1+A50)</f>
        <v>1.264025</v>
      </c>
      <c r="C50" s="25">
        <f>B50</f>
        <v>1.264025</v>
      </c>
      <c r="D50" s="25">
        <f>NMonths/SUMPRODUCT(Schedule!$B$3:$B$26/Schedule!$J$3:$J$26)</f>
        <v>1.17423756497129</v>
      </c>
      <c r="E50" s="25">
        <f>TotalN/ABS(Phi*TotalN/IF(Phi*(B50-Protect)&gt;0,Protect,B50)-PremFV)</f>
        <v>1.2036369464822</v>
      </c>
      <c r="F50" s="25">
        <f>MEDIAN(B50,Protect,Giveup)</f>
        <v>1.18</v>
      </c>
      <c r="G50" s="25">
        <f>TotalN/ABS(Phi*NMonths*(Notional/B50+IF(Phi*(B50-PFStrike)&gt;0,1,1-Participation)*Notional*(1/PFStrike-1/B50)))</f>
        <v>1.192591</v>
      </c>
      <c r="H50" s="25">
        <f>TotalN/ABS(Phi*(TotalN/B50+IF((Phi*(B50-TarfStrike))&gt;0,IF(KOType="exact",MIN(TotalN,Notional*TarfTarget/10000/(Phi*(B50-TarfStrike))),Notional*MIN(NMonths,ROUNDUP(TarfTarget/10000/(Phi*(B50-TarfStrike))-1E-12,0))),Leverage*TotalN)*(1/TarfStrike-1/B50)))</f>
        <v>1.251088704574</v>
      </c>
    </row>
    <row r="51" spans="1:8">
      <c r="A51" s="27">
        <f>-0.15+(ROW()-3)*0.005</f>
        <v>0.09</v>
      </c>
      <c r="B51" s="25">
        <f>Spot*(1+A51)</f>
        <v>1.26985</v>
      </c>
      <c r="C51" s="25">
        <f>B51</f>
        <v>1.26985</v>
      </c>
      <c r="D51" s="25">
        <f>NMonths/SUMPRODUCT(Schedule!$B$3:$B$26/Schedule!$J$3:$J$26)</f>
        <v>1.17423756497129</v>
      </c>
      <c r="E51" s="25">
        <f>TotalN/ABS(Phi*TotalN/IF(Phi*(B51-Protect)&gt;0,Protect,B51)-PremFV)</f>
        <v>1.2036369464822</v>
      </c>
      <c r="F51" s="25">
        <f>MEDIAN(B51,Protect,Giveup)</f>
        <v>1.18</v>
      </c>
      <c r="G51" s="25">
        <f>TotalN/ABS(Phi*NMonths*(Notional/B51+IF(Phi*(B51-PFStrike)&gt;0,1,1-Participation)*Notional*(1/PFStrike-1/B51)))</f>
        <v>1.192591</v>
      </c>
      <c r="H51" s="25">
        <f>TotalN/ABS(Phi*(TotalN/B51+IF((Phi*(B51-TarfStrike))&gt;0,IF(KOType="exact",MIN(TotalN,Notional*TarfTarget/10000/(Phi*(B51-TarfStrike))),Notional*MIN(NMonths,ROUNDUP(TarfTarget/10000/(Phi*(B51-TarfStrike))-1E-12,0))),Leverage*TotalN)*(1/TarfStrike-1/B51)))</f>
        <v>1.25631732039075</v>
      </c>
    </row>
    <row r="52" spans="1:8">
      <c r="A52" s="27">
        <f>-0.15+(ROW()-3)*0.005</f>
        <v>0.095</v>
      </c>
      <c r="B52" s="25">
        <f>Spot*(1+A52)</f>
        <v>1.275675</v>
      </c>
      <c r="C52" s="25">
        <f>B52</f>
        <v>1.275675</v>
      </c>
      <c r="D52" s="25">
        <f>NMonths/SUMPRODUCT(Schedule!$B$3:$B$26/Schedule!$J$3:$J$26)</f>
        <v>1.17423756497129</v>
      </c>
      <c r="E52" s="25">
        <f>TotalN/ABS(Phi*TotalN/IF(Phi*(B52-Protect)&gt;0,Protect,B52)-PremFV)</f>
        <v>1.2036369464822</v>
      </c>
      <c r="F52" s="25">
        <f>MEDIAN(B52,Protect,Giveup)</f>
        <v>1.18</v>
      </c>
      <c r="G52" s="25">
        <f>TotalN/ABS(Phi*NMonths*(Notional/B52+IF(Phi*(B52-PFStrike)&gt;0,1,1-Participation)*Notional*(1/PFStrike-1/B52)))</f>
        <v>1.192591</v>
      </c>
      <c r="H52" s="25">
        <f>TotalN/ABS(Phi*(TotalN/B52+IF((Phi*(B52-TarfStrike))&gt;0,IF(KOType="exact",MIN(TotalN,Notional*TarfTarget/10000/(Phi*(B52-TarfStrike))),Notional*MIN(NMonths,ROUNDUP(TarfTarget/10000/(Phi*(B52-TarfStrike))-1E-12,0))),Leverage*TotalN)*(1/TarfStrike-1/B52)))</f>
        <v>1.26154147210047</v>
      </c>
    </row>
    <row r="53" spans="1:8">
      <c r="A53" s="27">
        <f>-0.15+(ROW()-3)*0.005</f>
        <v>0.1</v>
      </c>
      <c r="B53" s="25">
        <f>Spot*(1+A53)</f>
        <v>1.2815</v>
      </c>
      <c r="C53" s="25">
        <f>B53</f>
        <v>1.2815</v>
      </c>
      <c r="D53" s="25">
        <f>NMonths/SUMPRODUCT(Schedule!$B$3:$B$26/Schedule!$J$3:$J$26)</f>
        <v>1.17423756497129</v>
      </c>
      <c r="E53" s="25">
        <f>TotalN/ABS(Phi*TotalN/IF(Phi*(B53-Protect)&gt;0,Protect,B53)-PremFV)</f>
        <v>1.2036369464822</v>
      </c>
      <c r="F53" s="25">
        <f>MEDIAN(B53,Protect,Giveup)</f>
        <v>1.18</v>
      </c>
      <c r="G53" s="25">
        <f>TotalN/ABS(Phi*NMonths*(Notional/B53+IF(Phi*(B53-PFStrike)&gt;0,1,1-Participation)*Notional*(1/PFStrike-1/B53)))</f>
        <v>1.192591</v>
      </c>
      <c r="H53" s="25">
        <f>TotalN/ABS(Phi*(TotalN/B53+IF((Phi*(B53-TarfStrike))&gt;0,IF(KOType="exact",MIN(TotalN,Notional*TarfTarget/10000/(Phi*(B53-TarfStrike))),Notional*MIN(NMonths,ROUNDUP(TarfTarget/10000/(Phi*(B53-TarfStrike))-1E-12,0))),Leverage*TotalN)*(1/TarfStrike-1/B53)))</f>
        <v>1.26676116541781</v>
      </c>
    </row>
    <row r="54" spans="1:8">
      <c r="A54" s="27">
        <f>-0.15+(ROW()-3)*0.005</f>
        <v>0.105</v>
      </c>
      <c r="B54" s="25">
        <f>Spot*(1+A54)</f>
        <v>1.287325</v>
      </c>
      <c r="C54" s="25">
        <f>B54</f>
        <v>1.287325</v>
      </c>
      <c r="D54" s="25">
        <f>NMonths/SUMPRODUCT(Schedule!$B$3:$B$26/Schedule!$J$3:$J$26)</f>
        <v>1.17423756497129</v>
      </c>
      <c r="E54" s="25">
        <f>TotalN/ABS(Phi*TotalN/IF(Phi*(B54-Protect)&gt;0,Protect,B54)-PremFV)</f>
        <v>1.2036369464822</v>
      </c>
      <c r="F54" s="25">
        <f>MEDIAN(B54,Protect,Giveup)</f>
        <v>1.18</v>
      </c>
      <c r="G54" s="25">
        <f>TotalN/ABS(Phi*NMonths*(Notional/B54+IF(Phi*(B54-PFStrike)&gt;0,1,1-Participation)*Notional*(1/PFStrike-1/B54)))</f>
        <v>1.192591</v>
      </c>
      <c r="H54" s="25">
        <f>TotalN/ABS(Phi*(TotalN/B54+IF((Phi*(B54-TarfStrike))&gt;0,IF(KOType="exact",MIN(TotalN,Notional*TarfTarget/10000/(Phi*(B54-TarfStrike))),Notional*MIN(NMonths,ROUNDUP(TarfTarget/10000/(Phi*(B54-TarfStrike))-1E-12,0))),Leverage*TotalN)*(1/TarfStrike-1/B54)))</f>
        <v>1.27197640604763</v>
      </c>
    </row>
    <row r="55" spans="1:8">
      <c r="A55" s="27">
        <f>-0.15+(ROW()-3)*0.005</f>
        <v>0.11</v>
      </c>
      <c r="B55" s="25">
        <f>Spot*(1+A55)</f>
        <v>1.29315</v>
      </c>
      <c r="C55" s="25">
        <f>B55</f>
        <v>1.29315</v>
      </c>
      <c r="D55" s="25">
        <f>NMonths/SUMPRODUCT(Schedule!$B$3:$B$26/Schedule!$J$3:$J$26)</f>
        <v>1.17423756497129</v>
      </c>
      <c r="E55" s="25">
        <f>TotalN/ABS(Phi*TotalN/IF(Phi*(B55-Protect)&gt;0,Protect,B55)-PremFV)</f>
        <v>1.2036369464822</v>
      </c>
      <c r="F55" s="25">
        <f>MEDIAN(B55,Protect,Giveup)</f>
        <v>1.18</v>
      </c>
      <c r="G55" s="25">
        <f>TotalN/ABS(Phi*NMonths*(Notional/B55+IF(Phi*(B55-PFStrike)&gt;0,1,1-Participation)*Notional*(1/PFStrike-1/B55)))</f>
        <v>1.192591</v>
      </c>
      <c r="H55" s="25">
        <f>TotalN/ABS(Phi*(TotalN/B55+IF((Phi*(B55-TarfStrike))&gt;0,IF(KOType="exact",MIN(TotalN,Notional*TarfTarget/10000/(Phi*(B55-TarfStrike))),Notional*MIN(NMonths,ROUNDUP(TarfTarget/10000/(Phi*(B55-TarfStrike))-1E-12,0))),Leverage*TotalN)*(1/TarfStrike-1/B55)))</f>
        <v>1.2771871996851</v>
      </c>
    </row>
    <row r="56" spans="1:8">
      <c r="A56" s="27">
        <f>-0.15+(ROW()-3)*0.005</f>
        <v>0.115</v>
      </c>
      <c r="B56" s="25">
        <f>Spot*(1+A56)</f>
        <v>1.298975</v>
      </c>
      <c r="C56" s="25">
        <f>B56</f>
        <v>1.298975</v>
      </c>
      <c r="D56" s="25">
        <f>NMonths/SUMPRODUCT(Schedule!$B$3:$B$26/Schedule!$J$3:$J$26)</f>
        <v>1.17423756497129</v>
      </c>
      <c r="E56" s="25">
        <f>TotalN/ABS(Phi*TotalN/IF(Phi*(B56-Protect)&gt;0,Protect,B56)-PremFV)</f>
        <v>1.2036369464822</v>
      </c>
      <c r="F56" s="25">
        <f>MEDIAN(B56,Protect,Giveup)</f>
        <v>1.18</v>
      </c>
      <c r="G56" s="25">
        <f>TotalN/ABS(Phi*NMonths*(Notional/B56+IF(Phi*(B56-PFStrike)&gt;0,1,1-Participation)*Notional*(1/PFStrike-1/B56)))</f>
        <v>1.192591</v>
      </c>
      <c r="H56" s="25">
        <f>TotalN/ABS(Phi*(TotalN/B56+IF((Phi*(B56-TarfStrike))&gt;0,IF(KOType="exact",MIN(TotalN,Notional*TarfTarget/10000/(Phi*(B56-TarfStrike))),Notional*MIN(NMonths,ROUNDUP(TarfTarget/10000/(Phi*(B56-TarfStrike))-1E-12,0))),Leverage*TotalN)*(1/TarfStrike-1/B56)))</f>
        <v>1.28239355201566</v>
      </c>
    </row>
    <row r="57" spans="1:8">
      <c r="A57" s="27">
        <f>-0.15+(ROW()-3)*0.005</f>
        <v>0.12</v>
      </c>
      <c r="B57" s="25">
        <f>Spot*(1+A57)</f>
        <v>1.3048</v>
      </c>
      <c r="C57" s="25">
        <f>B57</f>
        <v>1.3048</v>
      </c>
      <c r="D57" s="25">
        <f>NMonths/SUMPRODUCT(Schedule!$B$3:$B$26/Schedule!$J$3:$J$26)</f>
        <v>1.17423756497129</v>
      </c>
      <c r="E57" s="25">
        <f>TotalN/ABS(Phi*TotalN/IF(Phi*(B57-Protect)&gt;0,Protect,B57)-PremFV)</f>
        <v>1.2036369464822</v>
      </c>
      <c r="F57" s="25">
        <f>MEDIAN(B57,Protect,Giveup)</f>
        <v>1.18</v>
      </c>
      <c r="G57" s="25">
        <f>TotalN/ABS(Phi*NMonths*(Notional/B57+IF(Phi*(B57-PFStrike)&gt;0,1,1-Participation)*Notional*(1/PFStrike-1/B57)))</f>
        <v>1.192591</v>
      </c>
      <c r="H57" s="25">
        <f>TotalN/ABS(Phi*(TotalN/B57+IF((Phi*(B57-TarfStrike))&gt;0,IF(KOType="exact",MIN(TotalN,Notional*TarfTarget/10000/(Phi*(B57-TarfStrike))),Notional*MIN(NMonths,ROUNDUP(TarfTarget/10000/(Phi*(B57-TarfStrike))-1E-12,0))),Leverage*TotalN)*(1/TarfStrike-1/B57)))</f>
        <v>1.28759546871507</v>
      </c>
    </row>
    <row r="58" spans="1:8">
      <c r="A58" s="27">
        <f>-0.15+(ROW()-3)*0.005</f>
        <v>0.125</v>
      </c>
      <c r="B58" s="25">
        <f>Spot*(1+A58)</f>
        <v>1.310625</v>
      </c>
      <c r="C58" s="25">
        <f>B58</f>
        <v>1.310625</v>
      </c>
      <c r="D58" s="25">
        <f>NMonths/SUMPRODUCT(Schedule!$B$3:$B$26/Schedule!$J$3:$J$26)</f>
        <v>1.17423756497129</v>
      </c>
      <c r="E58" s="25">
        <f>TotalN/ABS(Phi*TotalN/IF(Phi*(B58-Protect)&gt;0,Protect,B58)-PremFV)</f>
        <v>1.2036369464822</v>
      </c>
      <c r="F58" s="25">
        <f>MEDIAN(B58,Protect,Giveup)</f>
        <v>1.18</v>
      </c>
      <c r="G58" s="25">
        <f>TotalN/ABS(Phi*NMonths*(Notional/B58+IF(Phi*(B58-PFStrike)&gt;0,1,1-Participation)*Notional*(1/PFStrike-1/B58)))</f>
        <v>1.192591</v>
      </c>
      <c r="H58" s="25">
        <f>TotalN/ABS(Phi*(TotalN/B58+IF((Phi*(B58-TarfStrike))&gt;0,IF(KOType="exact",MIN(TotalN,Notional*TarfTarget/10000/(Phi*(B58-TarfStrike))),Notional*MIN(NMonths,ROUNDUP(TarfTarget/10000/(Phi*(B58-TarfStrike))-1E-12,0))),Leverage*TotalN)*(1/TarfStrike-1/B58)))</f>
        <v>1.29279295544942</v>
      </c>
    </row>
    <row r="59" spans="1:8">
      <c r="A59" s="27">
        <f>-0.15+(ROW()-3)*0.005</f>
        <v>0.13</v>
      </c>
      <c r="B59" s="25">
        <f>Spot*(1+A59)</f>
        <v>1.31645</v>
      </c>
      <c r="C59" s="25">
        <f>B59</f>
        <v>1.31645</v>
      </c>
      <c r="D59" s="25">
        <f>NMonths/SUMPRODUCT(Schedule!$B$3:$B$26/Schedule!$J$3:$J$26)</f>
        <v>1.17423756497129</v>
      </c>
      <c r="E59" s="25">
        <f>TotalN/ABS(Phi*TotalN/IF(Phi*(B59-Protect)&gt;0,Protect,B59)-PremFV)</f>
        <v>1.2036369464822</v>
      </c>
      <c r="F59" s="25">
        <f>MEDIAN(B59,Protect,Giveup)</f>
        <v>1.18</v>
      </c>
      <c r="G59" s="25">
        <f>TotalN/ABS(Phi*NMonths*(Notional/B59+IF(Phi*(B59-PFStrike)&gt;0,1,1-Participation)*Notional*(1/PFStrike-1/B59)))</f>
        <v>1.192591</v>
      </c>
      <c r="H59" s="25">
        <f>TotalN/ABS(Phi*(TotalN/B59+IF((Phi*(B59-TarfStrike))&gt;0,IF(KOType="exact",MIN(TotalN,Notional*TarfTarget/10000/(Phi*(B59-TarfStrike))),Notional*MIN(NMonths,ROUNDUP(TarfTarget/10000/(Phi*(B59-TarfStrike))-1E-12,0))),Leverage*TotalN)*(1/TarfStrike-1/B59)))</f>
        <v>1.29798601787516</v>
      </c>
    </row>
    <row r="60" spans="1:8">
      <c r="A60" s="27">
        <f>-0.15+(ROW()-3)*0.005</f>
        <v>0.135</v>
      </c>
      <c r="B60" s="25">
        <f>Spot*(1+A60)</f>
        <v>1.322275</v>
      </c>
      <c r="C60" s="25">
        <f>B60</f>
        <v>1.322275</v>
      </c>
      <c r="D60" s="25">
        <f>NMonths/SUMPRODUCT(Schedule!$B$3:$B$26/Schedule!$J$3:$J$26)</f>
        <v>1.17423756497129</v>
      </c>
      <c r="E60" s="25">
        <f>TotalN/ABS(Phi*TotalN/IF(Phi*(B60-Protect)&gt;0,Protect,B60)-PremFV)</f>
        <v>1.2036369464822</v>
      </c>
      <c r="F60" s="25">
        <f>MEDIAN(B60,Protect,Giveup)</f>
        <v>1.18</v>
      </c>
      <c r="G60" s="25">
        <f>TotalN/ABS(Phi*NMonths*(Notional/B60+IF(Phi*(B60-PFStrike)&gt;0,1,1-Participation)*Notional*(1/PFStrike-1/B60)))</f>
        <v>1.192591</v>
      </c>
      <c r="H60" s="25">
        <f>TotalN/ABS(Phi*(TotalN/B60+IF((Phi*(B60-TarfStrike))&gt;0,IF(KOType="exact",MIN(TotalN,Notional*TarfTarget/10000/(Phi*(B60-TarfStrike))),Notional*MIN(NMonths,ROUNDUP(TarfTarget/10000/(Phi*(B60-TarfStrike))-1E-12,0))),Leverage*TotalN)*(1/TarfStrike-1/B60)))</f>
        <v>1.30317466163911</v>
      </c>
    </row>
    <row r="61" spans="1:8">
      <c r="A61" s="27">
        <f>-0.15+(ROW()-3)*0.005</f>
        <v>0.14</v>
      </c>
      <c r="B61" s="25">
        <f>Spot*(1+A61)</f>
        <v>1.3281</v>
      </c>
      <c r="C61" s="25">
        <f>B61</f>
        <v>1.3281</v>
      </c>
      <c r="D61" s="25">
        <f>NMonths/SUMPRODUCT(Schedule!$B$3:$B$26/Schedule!$J$3:$J$26)</f>
        <v>1.17423756497129</v>
      </c>
      <c r="E61" s="25">
        <f>TotalN/ABS(Phi*TotalN/IF(Phi*(B61-Protect)&gt;0,Protect,B61)-PremFV)</f>
        <v>1.2036369464822</v>
      </c>
      <c r="F61" s="25">
        <f>MEDIAN(B61,Protect,Giveup)</f>
        <v>1.18</v>
      </c>
      <c r="G61" s="25">
        <f>TotalN/ABS(Phi*NMonths*(Notional/B61+IF(Phi*(B61-PFStrike)&gt;0,1,1-Participation)*Notional*(1/PFStrike-1/B61)))</f>
        <v>1.192591</v>
      </c>
      <c r="H61" s="25">
        <f>TotalN/ABS(Phi*(TotalN/B61+IF((Phi*(B61-TarfStrike))&gt;0,IF(KOType="exact",MIN(TotalN,Notional*TarfTarget/10000/(Phi*(B61-TarfStrike))),Notional*MIN(NMonths,ROUNDUP(TarfTarget/10000/(Phi*(B61-TarfStrike))-1E-12,0))),Leverage*TotalN)*(1/TarfStrike-1/B61)))</f>
        <v>1.30835889237848</v>
      </c>
    </row>
    <row r="62" spans="1:8">
      <c r="A62" s="27">
        <f>-0.15+(ROW()-3)*0.005</f>
        <v>0.145</v>
      </c>
      <c r="B62" s="25">
        <f>Spot*(1+A62)</f>
        <v>1.333925</v>
      </c>
      <c r="C62" s="25">
        <f>B62</f>
        <v>1.333925</v>
      </c>
      <c r="D62" s="25">
        <f>NMonths/SUMPRODUCT(Schedule!$B$3:$B$26/Schedule!$J$3:$J$26)</f>
        <v>1.17423756497129</v>
      </c>
      <c r="E62" s="25">
        <f>TotalN/ABS(Phi*TotalN/IF(Phi*(B62-Protect)&gt;0,Protect,B62)-PremFV)</f>
        <v>1.2036369464822</v>
      </c>
      <c r="F62" s="25">
        <f>MEDIAN(B62,Protect,Giveup)</f>
        <v>1.18</v>
      </c>
      <c r="G62" s="25">
        <f>TotalN/ABS(Phi*NMonths*(Notional/B62+IF(Phi*(B62-PFStrike)&gt;0,1,1-Participation)*Notional*(1/PFStrike-1/B62)))</f>
        <v>1.192591</v>
      </c>
      <c r="H62" s="25">
        <f>TotalN/ABS(Phi*(TotalN/B62+IF((Phi*(B62-TarfStrike))&gt;0,IF(KOType="exact",MIN(TotalN,Notional*TarfTarget/10000/(Phi*(B62-TarfStrike))),Notional*MIN(NMonths,ROUNDUP(TarfTarget/10000/(Phi*(B62-TarfStrike))-1E-12,0))),Leverage*TotalN)*(1/TarfStrike-1/B62)))</f>
        <v>1.3135387157209</v>
      </c>
    </row>
    <row r="63" spans="1:8">
      <c r="A63" s="27">
        <f>-0.15+(ROW()-3)*0.005</f>
        <v>0.15</v>
      </c>
      <c r="B63" s="25">
        <f>Spot*(1+A63)</f>
        <v>1.33975</v>
      </c>
      <c r="C63" s="25">
        <f>B63</f>
        <v>1.33975</v>
      </c>
      <c r="D63" s="25">
        <f>NMonths/SUMPRODUCT(Schedule!$B$3:$B$26/Schedule!$J$3:$J$26)</f>
        <v>1.17423756497129</v>
      </c>
      <c r="E63" s="25">
        <f>TotalN/ABS(Phi*TotalN/IF(Phi*(B63-Protect)&gt;0,Protect,B63)-PremFV)</f>
        <v>1.2036369464822</v>
      </c>
      <c r="F63" s="25">
        <f>MEDIAN(B63,Protect,Giveup)</f>
        <v>1.18</v>
      </c>
      <c r="G63" s="25">
        <f>TotalN/ABS(Phi*NMonths*(Notional/B63+IF(Phi*(B63-PFStrike)&gt;0,1,1-Participation)*Notional*(1/PFStrike-1/B63)))</f>
        <v>1.192591</v>
      </c>
      <c r="H63" s="25">
        <f>TotalN/ABS(Phi*(TotalN/B63+IF((Phi*(B63-TarfStrike))&gt;0,IF(KOType="exact",MIN(TotalN,Notional*TarfTarget/10000/(Phi*(B63-TarfStrike))),Notional*MIN(NMonths,ROUNDUP(TarfTarget/10000/(Phi*(B63-TarfStrike))-1E-12,0))),Leverage*TotalN)*(1/TarfStrike-1/B63)))</f>
        <v>1.31871413728443</v>
      </c>
    </row>
  </sheetData>
  <pageMargins left="0.4" right="0.4" top="0.5" bottom="0.5" header="0.3" footer="0.3"/>
  <pageSetup paperSize="9" fitToHeight="0" orientation="landscape"/>
</worksheet>
</file>

<file path=xl/worksheets/sheet5.xml><?xml version="1.0" encoding="utf-8"?>
<worksheet xmlns="http://schemas.openxmlformats.org/spreadsheetml/2006/main" xmlns:r="http://schemas.openxmlformats.org/officeDocument/2006/relationships">
  <sheetPr codeName="Sheet5">
    <pageSetUpPr fitToPage="1"/>
  </sheetPr>
  <dimension ref="A1:G101"/>
  <sheetViews>
    <sheetView showGridLines="0" workbookViewId="0"/>
  </sheetViews>
  <sheetFormatPr defaultRowHeight="15"/>
  <cols>
    <col min="1" max="1" width="16.7109375" customWidth="1"/>
    <col min="2" max="7" width="18.7109375" customWidth="1"/>
  </cols>
  <sheetData>
    <row r="1" spans="1:7">
      <c r="A1" s="21" t="s">
        <v>73</v>
      </c>
    </row>
    <row r="2" spans="1:7">
      <c r="A2" s="9" t="s">
        <v>74</v>
      </c>
      <c r="B2" s="9" t="s">
        <v>37</v>
      </c>
      <c r="C2" s="9" t="s">
        <v>38</v>
      </c>
      <c r="D2" s="9" t="s">
        <v>39</v>
      </c>
      <c r="E2" s="9" t="s">
        <v>40</v>
      </c>
      <c r="F2" s="9" t="s">
        <v>41</v>
      </c>
      <c r="G2" s="9" t="s">
        <v>42</v>
      </c>
    </row>
    <row r="3" spans="1:7">
      <c r="A3" s="27">
        <v>0.01</v>
      </c>
      <c r="B3" s="25">
        <v>1.04089978944134</v>
      </c>
      <c r="C3" s="25">
        <v>1.17423756497129</v>
      </c>
      <c r="D3" s="25">
        <v>1.05920385919349</v>
      </c>
      <c r="E3" s="25">
        <v>1.168888</v>
      </c>
      <c r="F3" s="25">
        <v>1.11159421531639</v>
      </c>
      <c r="G3" s="25">
        <v>1.08004131608742</v>
      </c>
    </row>
    <row r="4" spans="1:7">
      <c r="A4" s="27">
        <v>0.02</v>
      </c>
      <c r="B4" s="25">
        <v>1.05473906158396</v>
      </c>
      <c r="C4" s="25">
        <v>1.17423756497129</v>
      </c>
      <c r="D4" s="25">
        <v>1.07358178645455</v>
      </c>
      <c r="E4" s="25">
        <v>1.168888</v>
      </c>
      <c r="F4" s="25">
        <v>1.11943708999015</v>
      </c>
      <c r="G4" s="25">
        <v>1.09128793388477</v>
      </c>
    </row>
    <row r="5" spans="1:7">
      <c r="A5" s="27">
        <v>0.03</v>
      </c>
      <c r="B5" s="25">
        <v>1.06333315319933</v>
      </c>
      <c r="C5" s="25">
        <v>1.17423756497129</v>
      </c>
      <c r="D5" s="25">
        <v>1.0824359285835</v>
      </c>
      <c r="E5" s="25">
        <v>1.168888</v>
      </c>
      <c r="F5" s="25">
        <v>1.12425756593017</v>
      </c>
      <c r="G5" s="25">
        <v>1.0978114643646</v>
      </c>
    </row>
    <row r="6" spans="1:7">
      <c r="A6" s="27">
        <v>0.04</v>
      </c>
      <c r="B6" s="25">
        <v>1.07003171827734</v>
      </c>
      <c r="C6" s="25">
        <v>1.17423756497129</v>
      </c>
      <c r="D6" s="25">
        <v>1.08935689608709</v>
      </c>
      <c r="E6" s="25">
        <v>1.168888</v>
      </c>
      <c r="F6" s="25">
        <v>1.12799203029396</v>
      </c>
      <c r="G6" s="25">
        <v>1.10302475417797</v>
      </c>
    </row>
    <row r="7" spans="1:7">
      <c r="A7" s="27">
        <v>0.05</v>
      </c>
      <c r="B7" s="25">
        <v>1.07561397711463</v>
      </c>
      <c r="C7" s="25">
        <v>1.17423756497129</v>
      </c>
      <c r="D7" s="25">
        <v>1.09507385251608</v>
      </c>
      <c r="E7" s="25">
        <v>1.168888</v>
      </c>
      <c r="F7" s="25">
        <v>1.13106685303514</v>
      </c>
      <c r="G7" s="25">
        <v>1.10730960835271</v>
      </c>
    </row>
    <row r="8" spans="1:7">
      <c r="A8" s="27">
        <v>0.06</v>
      </c>
      <c r="B8" s="25">
        <v>1.0806884291083</v>
      </c>
      <c r="C8" s="25">
        <v>1.17423756497129</v>
      </c>
      <c r="D8" s="25">
        <v>1.10041301341959</v>
      </c>
      <c r="E8" s="25">
        <v>1.168888</v>
      </c>
      <c r="F8" s="25">
        <v>1.13388413306016</v>
      </c>
      <c r="G8" s="25">
        <v>1.11084314348619</v>
      </c>
    </row>
    <row r="9" spans="1:7">
      <c r="A9" s="27">
        <v>0.07000000000000001</v>
      </c>
      <c r="B9" s="25">
        <v>1.08470150356407</v>
      </c>
      <c r="C9" s="25">
        <v>1.17423756497129</v>
      </c>
      <c r="D9" s="25">
        <v>1.10453665565045</v>
      </c>
      <c r="E9" s="25">
        <v>1.168888</v>
      </c>
      <c r="F9" s="25">
        <v>1.13608081005681</v>
      </c>
      <c r="G9" s="25">
        <v>1.11398728059961</v>
      </c>
    </row>
    <row r="10" spans="1:7">
      <c r="A10" s="27">
        <v>0.08</v>
      </c>
      <c r="B10" s="25">
        <v>1.0882805448346</v>
      </c>
      <c r="C10" s="25">
        <v>1.17423756497129</v>
      </c>
      <c r="D10" s="25">
        <v>1.10828089646744</v>
      </c>
      <c r="E10" s="25">
        <v>1.168888</v>
      </c>
      <c r="F10" s="25">
        <v>1.13802424074166</v>
      </c>
      <c r="G10" s="25">
        <v>1.11684786128268</v>
      </c>
    </row>
    <row r="11" spans="1:7">
      <c r="A11" s="27">
        <v>0.09</v>
      </c>
      <c r="B11" s="25">
        <v>1.09161772742857</v>
      </c>
      <c r="C11" s="25">
        <v>1.17423756497129</v>
      </c>
      <c r="D11" s="25">
        <v>1.1115158030201</v>
      </c>
      <c r="E11" s="25">
        <v>1.168888</v>
      </c>
      <c r="F11" s="25">
        <v>1.13980275231734</v>
      </c>
      <c r="G11" s="25">
        <v>1.11932932104678</v>
      </c>
    </row>
    <row r="12" spans="1:7">
      <c r="A12" s="27">
        <v>0.1</v>
      </c>
      <c r="B12" s="25">
        <v>1.09440609946305</v>
      </c>
      <c r="C12" s="25">
        <v>1.17423756497129</v>
      </c>
      <c r="D12" s="25">
        <v>1.11459738475958</v>
      </c>
      <c r="E12" s="25">
        <v>1.168888</v>
      </c>
      <c r="F12" s="25">
        <v>1.14135559689174</v>
      </c>
      <c r="G12" s="25">
        <v>1.12124690560386</v>
      </c>
    </row>
    <row r="13" spans="1:7">
      <c r="A13" s="27">
        <v>0.11</v>
      </c>
      <c r="B13" s="25">
        <v>1.09705411394725</v>
      </c>
      <c r="C13" s="25">
        <v>1.17423756497129</v>
      </c>
      <c r="D13" s="25">
        <v>1.11730053393836</v>
      </c>
      <c r="E13" s="25">
        <v>1.168888</v>
      </c>
      <c r="F13" s="25">
        <v>1.14281590550958</v>
      </c>
      <c r="G13" s="25">
        <v>1.12327459510903</v>
      </c>
    </row>
    <row r="14" spans="1:7">
      <c r="A14" s="27">
        <v>0.12</v>
      </c>
      <c r="B14" s="25">
        <v>1.10021946797789</v>
      </c>
      <c r="C14" s="25">
        <v>1.17423756497129</v>
      </c>
      <c r="D14" s="25">
        <v>1.1205769448692</v>
      </c>
      <c r="E14" s="25">
        <v>1.168888</v>
      </c>
      <c r="F14" s="25">
        <v>1.1445269763005</v>
      </c>
      <c r="G14" s="25">
        <v>1.12508590811807</v>
      </c>
    </row>
    <row r="15" spans="1:7">
      <c r="A15" s="27">
        <v>0.13</v>
      </c>
      <c r="B15" s="25">
        <v>1.10251763309834</v>
      </c>
      <c r="C15" s="25">
        <v>1.17423756497129</v>
      </c>
      <c r="D15" s="25">
        <v>1.12289560322249</v>
      </c>
      <c r="E15" s="25">
        <v>1.168888</v>
      </c>
      <c r="F15" s="25">
        <v>1.14575154929086</v>
      </c>
      <c r="G15" s="25">
        <v>1.12696453117915</v>
      </c>
    </row>
    <row r="16" spans="1:7">
      <c r="A16" s="27">
        <v>0.14</v>
      </c>
      <c r="B16" s="25">
        <v>1.10476398726206</v>
      </c>
      <c r="C16" s="25">
        <v>1.17423756497129</v>
      </c>
      <c r="D16" s="25">
        <v>1.12510097507897</v>
      </c>
      <c r="E16" s="25">
        <v>1.168888</v>
      </c>
      <c r="F16" s="25">
        <v>1.14694299174724</v>
      </c>
      <c r="G16" s="25">
        <v>1.12857807882459</v>
      </c>
    </row>
    <row r="17" spans="1:7">
      <c r="A17" s="27">
        <v>0.15</v>
      </c>
      <c r="B17" s="25">
        <v>1.10691353352089</v>
      </c>
      <c r="C17" s="25">
        <v>1.17423756497129</v>
      </c>
      <c r="D17" s="25">
        <v>1.12735208205469</v>
      </c>
      <c r="E17" s="25">
        <v>1.168888</v>
      </c>
      <c r="F17" s="25">
        <v>1.14809067200418</v>
      </c>
      <c r="G17" s="25">
        <v>1.12991386895201</v>
      </c>
    </row>
    <row r="18" spans="1:7">
      <c r="A18" s="27">
        <v>0.16</v>
      </c>
      <c r="B18" s="25">
        <v>1.10912921642556</v>
      </c>
      <c r="C18" s="25">
        <v>1.17423756497129</v>
      </c>
      <c r="D18" s="25">
        <v>1.12971006053403</v>
      </c>
      <c r="E18" s="25">
        <v>1.168888</v>
      </c>
      <c r="F18" s="25">
        <v>1.14930275255489</v>
      </c>
      <c r="G18" s="25">
        <v>1.13112805832509</v>
      </c>
    </row>
    <row r="19" spans="1:7">
      <c r="A19" s="27">
        <v>0.17</v>
      </c>
      <c r="B19" s="25">
        <v>1.11118630817836</v>
      </c>
      <c r="C19" s="25">
        <v>1.17423756497129</v>
      </c>
      <c r="D19" s="25">
        <v>1.1317992737874</v>
      </c>
      <c r="E19" s="25">
        <v>1.168888</v>
      </c>
      <c r="F19" s="25">
        <v>1.15039607985621</v>
      </c>
      <c r="G19" s="25">
        <v>1.13228891493231</v>
      </c>
    </row>
    <row r="20" spans="1:7">
      <c r="A20" s="27">
        <v>0.18</v>
      </c>
      <c r="B20" s="25">
        <v>1.11327821148701</v>
      </c>
      <c r="C20" s="25">
        <v>1.17423756497129</v>
      </c>
      <c r="D20" s="25">
        <v>1.13394883683496</v>
      </c>
      <c r="E20" s="25">
        <v>1.168888</v>
      </c>
      <c r="F20" s="25">
        <v>1.15152767059706</v>
      </c>
      <c r="G20" s="25">
        <v>1.1333940136764</v>
      </c>
    </row>
    <row r="21" spans="1:7">
      <c r="A21" s="27">
        <v>0.19</v>
      </c>
      <c r="B21" s="25">
        <v>1.11514991454553</v>
      </c>
      <c r="C21" s="25">
        <v>1.17423756497129</v>
      </c>
      <c r="D21" s="25">
        <v>1.13574250675623</v>
      </c>
      <c r="E21" s="25">
        <v>1.16894974164356</v>
      </c>
      <c r="F21" s="25">
        <v>1.1525096011469</v>
      </c>
      <c r="G21" s="25">
        <v>1.1342938029204</v>
      </c>
    </row>
    <row r="22" spans="1:7">
      <c r="A22" s="27">
        <v>0.2</v>
      </c>
      <c r="B22" s="25">
        <v>1.11715151482597</v>
      </c>
      <c r="C22" s="25">
        <v>1.17423756497129</v>
      </c>
      <c r="D22" s="25">
        <v>1.13775355488821</v>
      </c>
      <c r="E22" s="25">
        <v>1.16906252837032</v>
      </c>
      <c r="F22" s="25">
        <v>1.1535344077115</v>
      </c>
      <c r="G22" s="25">
        <v>1.13538944826716</v>
      </c>
    </row>
    <row r="23" spans="1:7">
      <c r="A23" s="27">
        <v>0.21</v>
      </c>
      <c r="B23" s="25">
        <v>1.11907417869958</v>
      </c>
      <c r="C23" s="25">
        <v>1.17423756497129</v>
      </c>
      <c r="D23" s="25">
        <v>1.13974549768798</v>
      </c>
      <c r="E23" s="25">
        <v>1.16920049098574</v>
      </c>
      <c r="F23" s="25">
        <v>1.15456491356749</v>
      </c>
      <c r="G23" s="25">
        <v>1.13637124664635</v>
      </c>
    </row>
    <row r="24" spans="1:7">
      <c r="A24" s="27">
        <v>0.22</v>
      </c>
      <c r="B24" s="25">
        <v>1.12090267429006</v>
      </c>
      <c r="C24" s="25">
        <v>1.17423756497129</v>
      </c>
      <c r="D24" s="25">
        <v>1.14154857928929</v>
      </c>
      <c r="E24" s="25">
        <v>1.16934066095868</v>
      </c>
      <c r="F24" s="25">
        <v>1.15547333598609</v>
      </c>
      <c r="G24" s="25">
        <v>1.13726930357049</v>
      </c>
    </row>
    <row r="25" spans="1:7">
      <c r="A25" s="27">
        <v>0.23</v>
      </c>
      <c r="B25" s="25">
        <v>1.12273154467872</v>
      </c>
      <c r="C25" s="25">
        <v>1.17423756497129</v>
      </c>
      <c r="D25" s="25">
        <v>1.14342795868064</v>
      </c>
      <c r="E25" s="25">
        <v>1.16948849616805</v>
      </c>
      <c r="F25" s="25">
        <v>1.15650825906716</v>
      </c>
      <c r="G25" s="25">
        <v>1.13822162195021</v>
      </c>
    </row>
    <row r="26" spans="1:7">
      <c r="A26" s="27">
        <v>0.24</v>
      </c>
      <c r="B26" s="25">
        <v>1.12464290041894</v>
      </c>
      <c r="C26" s="25">
        <v>1.17423756497129</v>
      </c>
      <c r="D26" s="25">
        <v>1.14520900545214</v>
      </c>
      <c r="E26" s="25">
        <v>1.16962798891773</v>
      </c>
      <c r="F26" s="25">
        <v>1.15745002307796</v>
      </c>
      <c r="G26" s="25">
        <v>1.1391952869589</v>
      </c>
    </row>
    <row r="27" spans="1:7">
      <c r="A27" s="27">
        <v>0.25</v>
      </c>
      <c r="B27" s="25">
        <v>1.12637340475719</v>
      </c>
      <c r="C27" s="25">
        <v>1.17423756497129</v>
      </c>
      <c r="D27" s="25">
        <v>1.14705463819925</v>
      </c>
      <c r="E27" s="25">
        <v>1.16977465997563</v>
      </c>
      <c r="F27" s="25">
        <v>1.15836150425229</v>
      </c>
      <c r="G27" s="25">
        <v>1.14009202504077</v>
      </c>
    </row>
    <row r="28" spans="1:7">
      <c r="A28" s="27">
        <v>0.26</v>
      </c>
      <c r="B28" s="25">
        <v>1.12787657143563</v>
      </c>
      <c r="C28" s="25">
        <v>1.17423756497129</v>
      </c>
      <c r="D28" s="25">
        <v>1.14878239446905</v>
      </c>
      <c r="E28" s="25">
        <v>1.16980600030193</v>
      </c>
      <c r="F28" s="25">
        <v>1.15922248412376</v>
      </c>
      <c r="G28" s="25">
        <v>1.14114489302683</v>
      </c>
    </row>
    <row r="29" spans="1:7">
      <c r="A29" s="27">
        <v>0.27</v>
      </c>
      <c r="B29" s="25">
        <v>1.12940367033259</v>
      </c>
      <c r="C29" s="25">
        <v>1.17423756497129</v>
      </c>
      <c r="D29" s="25">
        <v>1.15019604398067</v>
      </c>
      <c r="E29" s="25">
        <v>1.16980600030193</v>
      </c>
      <c r="F29" s="25">
        <v>1.1599875187721</v>
      </c>
      <c r="G29" s="25">
        <v>1.14198038342152</v>
      </c>
    </row>
    <row r="30" spans="1:7">
      <c r="A30" s="27">
        <v>0.28</v>
      </c>
      <c r="B30" s="25">
        <v>1.13097882586314</v>
      </c>
      <c r="C30" s="25">
        <v>1.17423756497129</v>
      </c>
      <c r="D30" s="25">
        <v>1.15177361961653</v>
      </c>
      <c r="E30" s="25">
        <v>1.16980600030193</v>
      </c>
      <c r="F30" s="25">
        <v>1.16080475982467</v>
      </c>
      <c r="G30" s="25">
        <v>1.14284614268093</v>
      </c>
    </row>
    <row r="31" spans="1:7">
      <c r="A31" s="27">
        <v>0.29</v>
      </c>
      <c r="B31" s="25">
        <v>1.13259443518399</v>
      </c>
      <c r="C31" s="25">
        <v>1.17423756497129</v>
      </c>
      <c r="D31" s="25">
        <v>1.15330519431353</v>
      </c>
      <c r="E31" s="25">
        <v>1.16985922158096</v>
      </c>
      <c r="F31" s="25">
        <v>1.16160937310677</v>
      </c>
      <c r="G31" s="25">
        <v>1.14366429230244</v>
      </c>
    </row>
    <row r="32" spans="1:7">
      <c r="A32" s="27">
        <v>0.3</v>
      </c>
      <c r="B32" s="25">
        <v>1.13407584764295</v>
      </c>
      <c r="C32" s="25">
        <v>1.17423756497129</v>
      </c>
      <c r="D32" s="25">
        <v>1.15478284223083</v>
      </c>
      <c r="E32" s="25">
        <v>1.17001487289678</v>
      </c>
      <c r="F32" s="25">
        <v>1.16235856862667</v>
      </c>
      <c r="G32" s="25">
        <v>1.14452093342967</v>
      </c>
    </row>
    <row r="33" spans="1:7">
      <c r="A33" s="27">
        <v>0.31</v>
      </c>
      <c r="B33" s="25">
        <v>1.13570444498323</v>
      </c>
      <c r="C33" s="25">
        <v>1.17423756497129</v>
      </c>
      <c r="D33" s="25">
        <v>1.1562082237752</v>
      </c>
      <c r="E33" s="25">
        <v>1.17019524311009</v>
      </c>
      <c r="F33" s="25">
        <v>1.16321158690736</v>
      </c>
      <c r="G33" s="25">
        <v>1.14541151077284</v>
      </c>
    </row>
    <row r="34" spans="1:7">
      <c r="A34" s="27">
        <v>0.32</v>
      </c>
      <c r="B34" s="25">
        <v>1.13721360838398</v>
      </c>
      <c r="C34" s="25">
        <v>1.17423756497129</v>
      </c>
      <c r="D34" s="25">
        <v>1.15765830061586</v>
      </c>
      <c r="E34" s="25">
        <v>1.17036149997572</v>
      </c>
      <c r="F34" s="25">
        <v>1.16392740594145</v>
      </c>
      <c r="G34" s="25">
        <v>1.14634267997465</v>
      </c>
    </row>
    <row r="35" spans="1:7">
      <c r="A35" s="27">
        <v>0.33</v>
      </c>
      <c r="B35" s="25">
        <v>1.13883705167659</v>
      </c>
      <c r="C35" s="25">
        <v>1.17423756497129</v>
      </c>
      <c r="D35" s="25">
        <v>1.15907833433268</v>
      </c>
      <c r="E35" s="25">
        <v>1.17054259496229</v>
      </c>
      <c r="F35" s="25">
        <v>1.16467912702601</v>
      </c>
      <c r="G35" s="25">
        <v>1.14724293346532</v>
      </c>
    </row>
    <row r="36" spans="1:7">
      <c r="A36" s="27">
        <v>0.34</v>
      </c>
      <c r="B36" s="25">
        <v>1.14004127505848</v>
      </c>
      <c r="C36" s="25">
        <v>1.17423756497129</v>
      </c>
      <c r="D36" s="25">
        <v>1.16048844519173</v>
      </c>
      <c r="E36" s="25">
        <v>1.17072544366243</v>
      </c>
      <c r="F36" s="25">
        <v>1.16537994148511</v>
      </c>
      <c r="G36" s="25">
        <v>1.14811520348021</v>
      </c>
    </row>
    <row r="37" spans="1:7">
      <c r="A37" s="27">
        <v>0.35</v>
      </c>
      <c r="B37" s="25">
        <v>1.14159129295141</v>
      </c>
      <c r="C37" s="25">
        <v>1.17423756497129</v>
      </c>
      <c r="D37" s="25">
        <v>1.16155652481133</v>
      </c>
      <c r="E37" s="25">
        <v>1.17072544366243</v>
      </c>
      <c r="F37" s="25">
        <v>1.16604221919009</v>
      </c>
      <c r="G37" s="25">
        <v>1.14899630087403</v>
      </c>
    </row>
    <row r="38" spans="1:7">
      <c r="A38" s="27">
        <v>0.36</v>
      </c>
      <c r="B38" s="25">
        <v>1.14289553979422</v>
      </c>
      <c r="C38" s="25">
        <v>1.17423756497129</v>
      </c>
      <c r="D38" s="25">
        <v>1.16276318212327</v>
      </c>
      <c r="E38" s="25">
        <v>1.17072937869222</v>
      </c>
      <c r="F38" s="25">
        <v>1.1667636173731</v>
      </c>
      <c r="G38" s="25">
        <v>1.14988625694428</v>
      </c>
    </row>
    <row r="39" spans="1:7">
      <c r="A39" s="27">
        <v>0.37</v>
      </c>
      <c r="B39" s="25">
        <v>1.14434895389322</v>
      </c>
      <c r="C39" s="25">
        <v>1.17423756497129</v>
      </c>
      <c r="D39" s="25">
        <v>1.16420323582659</v>
      </c>
      <c r="E39" s="25">
        <v>1.17090806248319</v>
      </c>
      <c r="F39" s="25">
        <v>1.16741929278417</v>
      </c>
      <c r="G39" s="25">
        <v>1.15079642900359</v>
      </c>
    </row>
    <row r="40" spans="1:7">
      <c r="A40" s="27">
        <v>0.38</v>
      </c>
      <c r="B40" s="25">
        <v>1.14580301486713</v>
      </c>
      <c r="C40" s="25">
        <v>1.17423756497129</v>
      </c>
      <c r="D40" s="25">
        <v>1.165575346769</v>
      </c>
      <c r="E40" s="25">
        <v>1.17107837787327</v>
      </c>
      <c r="F40" s="25">
        <v>1.16814807009692</v>
      </c>
      <c r="G40" s="25">
        <v>1.15157235546481</v>
      </c>
    </row>
    <row r="41" spans="1:7">
      <c r="A41" s="27">
        <v>0.39</v>
      </c>
      <c r="B41" s="25">
        <v>1.14737051589287</v>
      </c>
      <c r="C41" s="25">
        <v>1.17423756497129</v>
      </c>
      <c r="D41" s="25">
        <v>1.16684614624758</v>
      </c>
      <c r="E41" s="25">
        <v>1.17127742775713</v>
      </c>
      <c r="F41" s="25">
        <v>1.16888511614785</v>
      </c>
      <c r="G41" s="25">
        <v>1.15258933088029</v>
      </c>
    </row>
    <row r="42" spans="1:7">
      <c r="A42" s="27">
        <v>0.4</v>
      </c>
      <c r="B42" s="25">
        <v>1.14876224054541</v>
      </c>
      <c r="C42" s="25">
        <v>1.17423756497129</v>
      </c>
      <c r="D42" s="25">
        <v>1.16818206572689</v>
      </c>
      <c r="E42" s="25">
        <v>1.17147916874079</v>
      </c>
      <c r="F42" s="25">
        <v>1.16963117408707</v>
      </c>
      <c r="G42" s="25">
        <v>1.15347187199926</v>
      </c>
    </row>
    <row r="43" spans="1:7">
      <c r="A43" s="27">
        <v>0.41</v>
      </c>
      <c r="B43" s="25">
        <v>1.15024015960899</v>
      </c>
      <c r="C43" s="25">
        <v>1.17423756497129</v>
      </c>
      <c r="D43" s="25">
        <v>1.16931847048006</v>
      </c>
      <c r="E43" s="25">
        <v>1.1716463334868</v>
      </c>
      <c r="F43" s="25">
        <v>1.17024339454762</v>
      </c>
      <c r="G43" s="25">
        <v>1.15446317988217</v>
      </c>
    </row>
    <row r="44" spans="1:7">
      <c r="A44" s="27">
        <v>0.42</v>
      </c>
      <c r="B44" s="25">
        <v>1.15169855625096</v>
      </c>
      <c r="C44" s="25">
        <v>1.17423756497129</v>
      </c>
      <c r="D44" s="25">
        <v>1.17058590623044</v>
      </c>
      <c r="E44" s="25">
        <v>1.1716463334868</v>
      </c>
      <c r="F44" s="25">
        <v>1.17087780777039</v>
      </c>
      <c r="G44" s="25">
        <v>1.15521355383742</v>
      </c>
    </row>
    <row r="45" spans="1:7">
      <c r="A45" s="27">
        <v>0.43</v>
      </c>
      <c r="B45" s="25">
        <v>1.15304680354894</v>
      </c>
      <c r="C45" s="25">
        <v>1.17423756497129</v>
      </c>
      <c r="D45" s="25">
        <v>1.17163098462983</v>
      </c>
      <c r="E45" s="25">
        <v>1.17179577656123</v>
      </c>
      <c r="F45" s="25">
        <v>1.1715600049424</v>
      </c>
      <c r="G45" s="25">
        <v>1.15617660918879</v>
      </c>
    </row>
    <row r="46" spans="1:7">
      <c r="A46" s="27">
        <v>0.44</v>
      </c>
      <c r="B46" s="25">
        <v>1.15450331686924</v>
      </c>
      <c r="C46" s="25">
        <v>1.17423756497129</v>
      </c>
      <c r="D46" s="25">
        <v>1.17284133223737</v>
      </c>
      <c r="E46" s="25">
        <v>1.17198180982035</v>
      </c>
      <c r="F46" s="25">
        <v>1.17217142586436</v>
      </c>
      <c r="G46" s="25">
        <v>1.15731306843752</v>
      </c>
    </row>
    <row r="47" spans="1:7">
      <c r="A47" s="27">
        <v>0.45</v>
      </c>
      <c r="B47" s="25">
        <v>1.15583481346913</v>
      </c>
      <c r="C47" s="25">
        <v>1.17423756497129</v>
      </c>
      <c r="D47" s="25">
        <v>1.1740541481843</v>
      </c>
      <c r="E47" s="25">
        <v>1.17217488253336</v>
      </c>
      <c r="F47" s="25">
        <v>1.1728288402476</v>
      </c>
      <c r="G47" s="25">
        <v>1.15825127074879</v>
      </c>
    </row>
    <row r="48" spans="1:7">
      <c r="A48" s="27">
        <v>0.46</v>
      </c>
      <c r="B48" s="25">
        <v>1.15731569320481</v>
      </c>
      <c r="C48" s="25">
        <v>1.17423756497129</v>
      </c>
      <c r="D48" s="25">
        <v>1.17512119675801</v>
      </c>
      <c r="E48" s="25">
        <v>1.17236784434871</v>
      </c>
      <c r="F48" s="25">
        <v>1.17345767954611</v>
      </c>
      <c r="G48" s="25">
        <v>1.15914354225205</v>
      </c>
    </row>
    <row r="49" spans="1:7">
      <c r="A49" s="27">
        <v>0.47</v>
      </c>
      <c r="B49" s="25">
        <v>1.1586049848241</v>
      </c>
      <c r="C49" s="25">
        <v>1.17423756497129</v>
      </c>
      <c r="D49" s="25">
        <v>1.17639572969264</v>
      </c>
      <c r="E49" s="25">
        <v>1.1725686731911</v>
      </c>
      <c r="F49" s="25">
        <v>1.17405316857818</v>
      </c>
      <c r="G49" s="25">
        <v>1.16018233033762</v>
      </c>
    </row>
    <row r="50" spans="1:7">
      <c r="A50" s="27">
        <v>0.48</v>
      </c>
      <c r="B50" s="25">
        <v>1.15991014171131</v>
      </c>
      <c r="C50" s="25">
        <v>1.17423756497129</v>
      </c>
      <c r="D50" s="25">
        <v>1.17737046728448</v>
      </c>
      <c r="E50" s="25">
        <v>1.1725686731911</v>
      </c>
      <c r="F50" s="25">
        <v>1.1747164063565</v>
      </c>
      <c r="G50" s="25">
        <v>1.16115679408892</v>
      </c>
    </row>
    <row r="51" spans="1:7">
      <c r="A51" s="27">
        <v>0.49</v>
      </c>
      <c r="B51" s="25">
        <v>1.16135108105145</v>
      </c>
      <c r="C51" s="25">
        <v>1.17423756497129</v>
      </c>
      <c r="D51" s="25">
        <v>1.17838405972038</v>
      </c>
      <c r="E51" s="25">
        <v>1.17273449396951</v>
      </c>
      <c r="F51" s="25">
        <v>1.17518496871398</v>
      </c>
      <c r="G51" s="25">
        <v>1.1620676227106</v>
      </c>
    </row>
    <row r="52" spans="1:7">
      <c r="A52" s="27">
        <v>0.5</v>
      </c>
      <c r="B52" s="25">
        <v>1.16264957397078</v>
      </c>
      <c r="C52" s="25">
        <v>1.17423756497129</v>
      </c>
      <c r="D52" s="25">
        <v>1.1794249590927</v>
      </c>
      <c r="E52" s="25">
        <v>1.17294828423252</v>
      </c>
      <c r="F52" s="25">
        <v>1.17580834615278</v>
      </c>
      <c r="G52" s="25">
        <v>1.16306114071577</v>
      </c>
    </row>
    <row r="53" spans="1:7">
      <c r="A53" s="27">
        <v>0.51</v>
      </c>
      <c r="B53" s="25">
        <v>1.16390097400836</v>
      </c>
      <c r="C53" s="25">
        <v>1.17423756497129</v>
      </c>
      <c r="D53" s="25">
        <v>1.18038580906579</v>
      </c>
      <c r="E53" s="25">
        <v>1.17316631181252</v>
      </c>
      <c r="F53" s="25">
        <v>1.17638467519278</v>
      </c>
      <c r="G53" s="25">
        <v>1.16407208514546</v>
      </c>
    </row>
    <row r="54" spans="1:7">
      <c r="A54" s="27">
        <v>0.52</v>
      </c>
      <c r="B54" s="25">
        <v>1.16541575406666</v>
      </c>
      <c r="C54" s="25">
        <v>1.17423756497129</v>
      </c>
      <c r="D54" s="25">
        <v>1.1813021641274</v>
      </c>
      <c r="E54" s="25">
        <v>1.17338092861001</v>
      </c>
      <c r="F54" s="25">
        <v>1.17692390200238</v>
      </c>
      <c r="G54" s="25">
        <v>1.16513516268178</v>
      </c>
    </row>
    <row r="55" spans="1:7">
      <c r="A55" s="27">
        <v>0.53</v>
      </c>
      <c r="B55" s="25">
        <v>1.16677813953003</v>
      </c>
      <c r="C55" s="25">
        <v>1.17423756497129</v>
      </c>
      <c r="D55" s="25">
        <v>1.18227416790655</v>
      </c>
      <c r="E55" s="25">
        <v>1.17349246620213</v>
      </c>
      <c r="F55" s="25">
        <v>1.17744784958894</v>
      </c>
      <c r="G55" s="25">
        <v>1.16623354760551</v>
      </c>
    </row>
    <row r="56" spans="1:7">
      <c r="A56" s="27">
        <v>0.54</v>
      </c>
      <c r="B56" s="25">
        <v>1.1680478908432</v>
      </c>
      <c r="C56" s="25">
        <v>1.17423756497129</v>
      </c>
      <c r="D56" s="25">
        <v>1.18323631288685</v>
      </c>
      <c r="E56" s="25">
        <v>1.17355052134137</v>
      </c>
      <c r="F56" s="25">
        <v>1.17800464604284</v>
      </c>
      <c r="G56" s="25">
        <v>1.16736703310378</v>
      </c>
    </row>
    <row r="57" spans="1:7">
      <c r="A57" s="27">
        <v>0.55</v>
      </c>
      <c r="B57" s="25">
        <v>1.16948921191137</v>
      </c>
      <c r="C57" s="25">
        <v>1.17423756497129</v>
      </c>
      <c r="D57" s="25">
        <v>1.18418569931196</v>
      </c>
      <c r="E57" s="25">
        <v>1.17377931220522</v>
      </c>
      <c r="F57" s="25">
        <v>1.17851279461664</v>
      </c>
      <c r="G57" s="25">
        <v>1.16831021136479</v>
      </c>
    </row>
    <row r="58" spans="1:7">
      <c r="A58" s="27">
        <v>0.5600000000000001</v>
      </c>
      <c r="B58" s="25">
        <v>1.1708640705071</v>
      </c>
      <c r="C58" s="25">
        <v>1.17423756497129</v>
      </c>
      <c r="D58" s="25">
        <v>1.18505281566099</v>
      </c>
      <c r="E58" s="25">
        <v>1.17399229276781</v>
      </c>
      <c r="F58" s="25">
        <v>1.17905014354556</v>
      </c>
      <c r="G58" s="25">
        <v>1.16940656467787</v>
      </c>
    </row>
    <row r="59" spans="1:7">
      <c r="A59" s="27">
        <v>0.57</v>
      </c>
      <c r="B59" s="25">
        <v>1.1722266137575</v>
      </c>
      <c r="C59" s="25">
        <v>1.17423756497129</v>
      </c>
      <c r="D59" s="25">
        <v>1.18594773230185</v>
      </c>
      <c r="E59" s="25">
        <v>1.17421707036965</v>
      </c>
      <c r="F59" s="25">
        <v>1.17958169724603</v>
      </c>
      <c r="G59" s="25">
        <v>1.17042355134889</v>
      </c>
    </row>
    <row r="60" spans="1:7">
      <c r="A60" s="27">
        <v>0.58</v>
      </c>
      <c r="B60" s="25">
        <v>1.17358626089353</v>
      </c>
      <c r="C60" s="25">
        <v>1.17423756497129</v>
      </c>
      <c r="D60" s="25">
        <v>1.18673145937061</v>
      </c>
      <c r="E60" s="25">
        <v>1.17441771595751</v>
      </c>
      <c r="F60" s="25">
        <v>1.18008501587226</v>
      </c>
      <c r="G60" s="25">
        <v>1.17158469682083</v>
      </c>
    </row>
    <row r="61" spans="1:7">
      <c r="A61" s="27">
        <v>0.59</v>
      </c>
      <c r="B61" s="25">
        <v>1.17512309277602</v>
      </c>
      <c r="C61" s="25">
        <v>1.17423756497129</v>
      </c>
      <c r="D61" s="25">
        <v>1.1875708014346</v>
      </c>
      <c r="E61" s="25">
        <v>1.17441920836145</v>
      </c>
      <c r="F61" s="25">
        <v>1.18063340681001</v>
      </c>
      <c r="G61" s="25">
        <v>1.17259090551157</v>
      </c>
    </row>
    <row r="62" spans="1:7">
      <c r="A62" s="27">
        <v>0.6</v>
      </c>
      <c r="B62" s="25">
        <v>1.17667138224045</v>
      </c>
      <c r="C62" s="25">
        <v>1.17423756497129</v>
      </c>
      <c r="D62" s="25">
        <v>1.18837445534202</v>
      </c>
      <c r="E62" s="25">
        <v>1.174645359314</v>
      </c>
      <c r="F62" s="25">
        <v>1.18109770297996</v>
      </c>
      <c r="G62" s="25">
        <v>1.1737456050297</v>
      </c>
    </row>
    <row r="63" spans="1:7">
      <c r="A63" s="27">
        <v>0.61</v>
      </c>
      <c r="B63" s="25">
        <v>1.17797106904278</v>
      </c>
      <c r="C63" s="25">
        <v>1.17423756497129</v>
      </c>
      <c r="D63" s="25">
        <v>1.18913447221068</v>
      </c>
      <c r="E63" s="25">
        <v>1.17487571641838</v>
      </c>
      <c r="F63" s="25">
        <v>1.18158493148238</v>
      </c>
      <c r="G63" s="25">
        <v>1.1749166510122</v>
      </c>
    </row>
    <row r="64" spans="1:7">
      <c r="A64" s="27">
        <v>0.62</v>
      </c>
      <c r="B64" s="25">
        <v>1.17970262603686</v>
      </c>
      <c r="C64" s="25">
        <v>1.17423756497129</v>
      </c>
      <c r="D64" s="25">
        <v>1.18991761278578</v>
      </c>
      <c r="E64" s="25">
        <v>1.17509693864599</v>
      </c>
      <c r="F64" s="25">
        <v>1.18203781336178</v>
      </c>
      <c r="G64" s="25">
        <v>1.17611346215539</v>
      </c>
    </row>
    <row r="65" spans="1:7">
      <c r="A65" s="27">
        <v>0.63</v>
      </c>
      <c r="B65" s="25">
        <v>1.18126799115803</v>
      </c>
      <c r="C65" s="25">
        <v>1.17423756497129</v>
      </c>
      <c r="D65" s="25">
        <v>1.19064285091134</v>
      </c>
      <c r="E65" s="25">
        <v>1.17532348044714</v>
      </c>
      <c r="F65" s="25">
        <v>1.18249421440246</v>
      </c>
      <c r="G65" s="25">
        <v>1.17734171225544</v>
      </c>
    </row>
    <row r="66" spans="1:7">
      <c r="A66" s="27">
        <v>0.64</v>
      </c>
      <c r="B66" s="25">
        <v>1.18272100746485</v>
      </c>
      <c r="C66" s="25">
        <v>1.17423756497129</v>
      </c>
      <c r="D66" s="25">
        <v>1.19142852372025</v>
      </c>
      <c r="E66" s="25">
        <v>1.1753444259057</v>
      </c>
      <c r="F66" s="25">
        <v>1.18303394938928</v>
      </c>
      <c r="G66" s="25">
        <v>1.1785958652576</v>
      </c>
    </row>
    <row r="67" spans="1:7">
      <c r="A67" s="27">
        <v>0.65</v>
      </c>
      <c r="B67" s="25">
        <v>1.18404247837637</v>
      </c>
      <c r="C67" s="25">
        <v>1.17423756497129</v>
      </c>
      <c r="D67" s="25">
        <v>1.19216908241419</v>
      </c>
      <c r="E67" s="25">
        <v>1.17549753047907</v>
      </c>
      <c r="F67" s="25">
        <v>1.18349433105485</v>
      </c>
      <c r="G67" s="25">
        <v>1.17983386575146</v>
      </c>
    </row>
    <row r="68" spans="1:7">
      <c r="A68" s="27">
        <v>0.66</v>
      </c>
      <c r="B68" s="25">
        <v>1.18559190247906</v>
      </c>
      <c r="C68" s="25">
        <v>1.17423756497129</v>
      </c>
      <c r="D68" s="25">
        <v>1.19287436971373</v>
      </c>
      <c r="E68" s="25">
        <v>1.17575149276143</v>
      </c>
      <c r="F68" s="25">
        <v>1.18401277340501</v>
      </c>
      <c r="G68" s="25">
        <v>1.18104366893809</v>
      </c>
    </row>
    <row r="69" spans="1:7">
      <c r="A69" s="27">
        <v>0.67</v>
      </c>
      <c r="B69" s="25">
        <v>1.18697604831307</v>
      </c>
      <c r="C69" s="25">
        <v>1.17423756497129</v>
      </c>
      <c r="D69" s="25">
        <v>1.1935236117772</v>
      </c>
      <c r="E69" s="25">
        <v>1.17597841335157</v>
      </c>
      <c r="F69" s="25">
        <v>1.18439876391707</v>
      </c>
      <c r="G69" s="25">
        <v>1.18242615764754</v>
      </c>
    </row>
    <row r="70" spans="1:7">
      <c r="A70" s="27">
        <v>0.68</v>
      </c>
      <c r="B70" s="25">
        <v>1.18869367412493</v>
      </c>
      <c r="C70" s="25">
        <v>1.17423756497129</v>
      </c>
      <c r="D70" s="25">
        <v>1.19417503382992</v>
      </c>
      <c r="E70" s="25">
        <v>1.17619449598038</v>
      </c>
      <c r="F70" s="25">
        <v>1.18482772412184</v>
      </c>
      <c r="G70" s="25">
        <v>1.18376035480496</v>
      </c>
    </row>
    <row r="71" spans="1:7">
      <c r="A71" s="27">
        <v>0.6899999999999999</v>
      </c>
      <c r="B71" s="25">
        <v>1.19007141300726</v>
      </c>
      <c r="C71" s="25">
        <v>1.17423756497129</v>
      </c>
      <c r="D71" s="25">
        <v>1.19482568429352</v>
      </c>
      <c r="E71" s="25">
        <v>1.17627259950605</v>
      </c>
      <c r="F71" s="25">
        <v>1.18521618793409</v>
      </c>
      <c r="G71" s="25">
        <v>1.1849228403573</v>
      </c>
    </row>
    <row r="72" spans="1:7">
      <c r="A72" s="27">
        <v>0.7</v>
      </c>
      <c r="B72" s="25">
        <v>1.19182047255581</v>
      </c>
      <c r="C72" s="25">
        <v>1.17423756497129</v>
      </c>
      <c r="D72" s="25">
        <v>1.1954276701675</v>
      </c>
      <c r="E72" s="25">
        <v>1.17635608209158</v>
      </c>
      <c r="F72" s="25">
        <v>1.18556974025761</v>
      </c>
      <c r="G72" s="25">
        <v>1.18623297620021</v>
      </c>
    </row>
    <row r="73" spans="1:7">
      <c r="A73" s="27">
        <v>0.71</v>
      </c>
      <c r="B73" s="25">
        <v>1.19345464822749</v>
      </c>
      <c r="C73" s="25">
        <v>1.17423756497129</v>
      </c>
      <c r="D73" s="25">
        <v>1.19598352362129</v>
      </c>
      <c r="E73" s="25">
        <v>1.17657728661694</v>
      </c>
      <c r="F73" s="25">
        <v>1.18596963688076</v>
      </c>
      <c r="G73" s="25">
        <v>1.18759675734043</v>
      </c>
    </row>
    <row r="74" spans="1:7">
      <c r="A74" s="27">
        <v>0.72</v>
      </c>
      <c r="B74" s="25">
        <v>1.19510386146733</v>
      </c>
      <c r="C74" s="25">
        <v>1.17423756497129</v>
      </c>
      <c r="D74" s="25">
        <v>1.19654641519006</v>
      </c>
      <c r="E74" s="25">
        <v>1.17680662928893</v>
      </c>
      <c r="F74" s="25">
        <v>1.18631021189315</v>
      </c>
      <c r="G74" s="25">
        <v>1.1891128800933</v>
      </c>
    </row>
    <row r="75" spans="1:7">
      <c r="A75" s="27">
        <v>0.73</v>
      </c>
      <c r="B75" s="25">
        <v>1.19676478501009</v>
      </c>
      <c r="C75" s="25">
        <v>1.17423756497129</v>
      </c>
      <c r="D75" s="25">
        <v>1.19700744152429</v>
      </c>
      <c r="E75" s="25">
        <v>1.17705623815555</v>
      </c>
      <c r="F75" s="25">
        <v>1.18666543302989</v>
      </c>
      <c r="G75" s="25">
        <v>1.19051839321531</v>
      </c>
    </row>
    <row r="76" spans="1:7">
      <c r="A76" s="27">
        <v>0.74</v>
      </c>
      <c r="B76" s="25">
        <v>1.19824614242114</v>
      </c>
      <c r="C76" s="25">
        <v>1.17423756497129</v>
      </c>
      <c r="D76" s="25">
        <v>1.19754728231677</v>
      </c>
      <c r="E76" s="25">
        <v>1.17720224022887</v>
      </c>
      <c r="F76" s="25">
        <v>1.18703327499581</v>
      </c>
      <c r="G76" s="25">
        <v>1.19218549298797</v>
      </c>
    </row>
    <row r="77" spans="1:7">
      <c r="A77" s="27">
        <v>0.75</v>
      </c>
      <c r="B77" s="25">
        <v>1.2000157107499</v>
      </c>
      <c r="C77" s="25">
        <v>1.17423756497129</v>
      </c>
      <c r="D77" s="25">
        <v>1.19794361009838</v>
      </c>
      <c r="E77" s="25">
        <v>1.17720224022887</v>
      </c>
      <c r="F77" s="25">
        <v>1.1873932451161</v>
      </c>
      <c r="G77" s="25">
        <v>1.19365278512973</v>
      </c>
    </row>
    <row r="78" spans="1:7">
      <c r="A78" s="27">
        <v>0.76</v>
      </c>
      <c r="B78" s="25">
        <v>1.20182492646044</v>
      </c>
      <c r="C78" s="25">
        <v>1.17423756497129</v>
      </c>
      <c r="D78" s="25">
        <v>1.19837248292741</v>
      </c>
      <c r="E78" s="25">
        <v>1.17736830706372</v>
      </c>
      <c r="F78" s="25">
        <v>1.18770134264542</v>
      </c>
      <c r="G78" s="25">
        <v>1.19538058537872</v>
      </c>
    </row>
    <row r="79" spans="1:7">
      <c r="A79" s="27">
        <v>0.77</v>
      </c>
      <c r="B79" s="25">
        <v>1.20381244022508</v>
      </c>
      <c r="C79" s="25">
        <v>1.17423756497129</v>
      </c>
      <c r="D79" s="25">
        <v>1.19881596850709</v>
      </c>
      <c r="E79" s="25">
        <v>1.17760280509262</v>
      </c>
      <c r="F79" s="25">
        <v>1.18801392527236</v>
      </c>
      <c r="G79" s="25">
        <v>1.19705389370362</v>
      </c>
    </row>
    <row r="80" spans="1:7">
      <c r="A80" s="27">
        <v>0.78</v>
      </c>
      <c r="B80" s="25">
        <v>1.20574136478831</v>
      </c>
      <c r="C80" s="25">
        <v>1.17423756497129</v>
      </c>
      <c r="D80" s="25">
        <v>1.19927849393925</v>
      </c>
      <c r="E80" s="25">
        <v>1.17782311558119</v>
      </c>
      <c r="F80" s="25">
        <v>1.1883686654671</v>
      </c>
      <c r="G80" s="25">
        <v>1.19860060574326</v>
      </c>
    </row>
    <row r="81" spans="1:7">
      <c r="A81" s="27">
        <v>0.79</v>
      </c>
      <c r="B81" s="25">
        <v>1.20757961372912</v>
      </c>
      <c r="C81" s="25">
        <v>1.17423756497129</v>
      </c>
      <c r="D81" s="25">
        <v>1.19973714811176</v>
      </c>
      <c r="E81" s="25">
        <v>1.1780192208587</v>
      </c>
      <c r="F81" s="25">
        <v>1.18866096677971</v>
      </c>
      <c r="G81" s="25">
        <v>1.2003585052297</v>
      </c>
    </row>
    <row r="82" spans="1:7">
      <c r="A82" s="27">
        <v>0.8</v>
      </c>
      <c r="B82" s="25">
        <v>1.20967508216823</v>
      </c>
      <c r="C82" s="25">
        <v>1.17423756497129</v>
      </c>
      <c r="D82" s="25">
        <v>1.20007639704114</v>
      </c>
      <c r="E82" s="25">
        <v>1.17813335155543</v>
      </c>
      <c r="F82" s="25">
        <v>1.18898436572787</v>
      </c>
      <c r="G82" s="25">
        <v>1.20204991122146</v>
      </c>
    </row>
    <row r="83" spans="1:7">
      <c r="A83" s="27">
        <v>0.8100000000000001</v>
      </c>
      <c r="B83" s="25">
        <v>1.2119958908274</v>
      </c>
      <c r="C83" s="25">
        <v>1.17423756497129</v>
      </c>
      <c r="D83" s="25">
        <v>1.20042252547623</v>
      </c>
      <c r="E83" s="25">
        <v>1.17813335155543</v>
      </c>
      <c r="F83" s="25">
        <v>1.1892405222778</v>
      </c>
      <c r="G83" s="25">
        <v>1.20374879937769</v>
      </c>
    </row>
    <row r="84" spans="1:7">
      <c r="A84" s="27">
        <v>0.82</v>
      </c>
      <c r="B84" s="25">
        <v>1.2138960199227</v>
      </c>
      <c r="C84" s="25">
        <v>1.17423756497129</v>
      </c>
      <c r="D84" s="25">
        <v>1.20080865654807</v>
      </c>
      <c r="E84" s="25">
        <v>1.17826200596146</v>
      </c>
      <c r="F84" s="25">
        <v>1.18952912861504</v>
      </c>
      <c r="G84" s="25">
        <v>1.20570609210211</v>
      </c>
    </row>
    <row r="85" spans="1:7">
      <c r="A85" s="27">
        <v>0.83</v>
      </c>
      <c r="B85" s="25">
        <v>1.21597513193366</v>
      </c>
      <c r="C85" s="25">
        <v>1.17423756497129</v>
      </c>
      <c r="D85" s="25">
        <v>1.20112308734873</v>
      </c>
      <c r="E85" s="25">
        <v>1.17845370797926</v>
      </c>
      <c r="F85" s="25">
        <v>1.18978928830273</v>
      </c>
      <c r="G85" s="25">
        <v>1.20745332413106</v>
      </c>
    </row>
    <row r="86" spans="1:7">
      <c r="A86" s="27">
        <v>0.84</v>
      </c>
      <c r="B86" s="25">
        <v>1.21822557954792</v>
      </c>
      <c r="C86" s="25">
        <v>1.17423756497129</v>
      </c>
      <c r="D86" s="25">
        <v>1.20142488403529</v>
      </c>
      <c r="E86" s="25">
        <v>1.17866292050862</v>
      </c>
      <c r="F86" s="25">
        <v>1.19002797836899</v>
      </c>
      <c r="G86" s="25">
        <v>1.20953150921358</v>
      </c>
    </row>
    <row r="87" spans="1:7">
      <c r="A87" s="27">
        <v>0.85</v>
      </c>
      <c r="B87" s="25">
        <v>1.22058293019343</v>
      </c>
      <c r="C87" s="25">
        <v>1.17423756497129</v>
      </c>
      <c r="D87" s="25">
        <v>1.20168961911757</v>
      </c>
      <c r="E87" s="25">
        <v>1.17887052622747</v>
      </c>
      <c r="F87" s="25">
        <v>1.19027354005277</v>
      </c>
      <c r="G87" s="25">
        <v>1.21159993981247</v>
      </c>
    </row>
    <row r="88" spans="1:7">
      <c r="A88" s="27">
        <v>0.86</v>
      </c>
      <c r="B88" s="25">
        <v>1.2230444945109</v>
      </c>
      <c r="C88" s="25">
        <v>1.17423756497129</v>
      </c>
      <c r="D88" s="25">
        <v>1.20195803663701</v>
      </c>
      <c r="E88" s="25">
        <v>1.17906593697801</v>
      </c>
      <c r="F88" s="25">
        <v>1.19050019862462</v>
      </c>
      <c r="G88" s="25">
        <v>1.21381166724303</v>
      </c>
    </row>
    <row r="89" spans="1:7">
      <c r="A89" s="27">
        <v>0.87</v>
      </c>
      <c r="B89" s="25">
        <v>1.22539702503144</v>
      </c>
      <c r="C89" s="25">
        <v>1.17423756497129</v>
      </c>
      <c r="D89" s="25">
        <v>1.20220886093724</v>
      </c>
      <c r="E89" s="25">
        <v>1.17906593697802</v>
      </c>
      <c r="F89" s="25">
        <v>1.19073043882717</v>
      </c>
      <c r="G89" s="25">
        <v>1.21618374859368</v>
      </c>
    </row>
    <row r="90" spans="1:7">
      <c r="A90" s="27">
        <v>0.88</v>
      </c>
      <c r="B90" s="25">
        <v>1.22801263788463</v>
      </c>
      <c r="C90" s="25">
        <v>1.17423756497129</v>
      </c>
      <c r="D90" s="25">
        <v>1.20244944999078</v>
      </c>
      <c r="E90" s="25">
        <v>1.17906593697802</v>
      </c>
      <c r="F90" s="25">
        <v>1.1909379304494</v>
      </c>
      <c r="G90" s="25">
        <v>1.21879041969013</v>
      </c>
    </row>
    <row r="91" spans="1:7">
      <c r="A91" s="27">
        <v>0.89</v>
      </c>
      <c r="B91" s="25">
        <v>1.23145264861142</v>
      </c>
      <c r="C91" s="25">
        <v>1.17423756497129</v>
      </c>
      <c r="D91" s="25">
        <v>1.20266575276225</v>
      </c>
      <c r="E91" s="25">
        <v>1.17906656143187</v>
      </c>
      <c r="F91" s="25">
        <v>1.19113349856652</v>
      </c>
      <c r="G91" s="25">
        <v>1.22148195614629</v>
      </c>
    </row>
    <row r="92" spans="1:7">
      <c r="A92" s="27">
        <v>0.9</v>
      </c>
      <c r="B92" s="25">
        <v>1.23425313898124</v>
      </c>
      <c r="C92" s="25">
        <v>1.17423756497129</v>
      </c>
      <c r="D92" s="25">
        <v>1.20291180914872</v>
      </c>
      <c r="E92" s="25">
        <v>1.17930305517529</v>
      </c>
      <c r="F92" s="25">
        <v>1.19131217151582</v>
      </c>
      <c r="G92" s="25">
        <v>1.22430025036697</v>
      </c>
    </row>
    <row r="93" spans="1:7">
      <c r="A93" s="27">
        <v>0.91</v>
      </c>
      <c r="B93" s="25">
        <v>1.2377722656852</v>
      </c>
      <c r="C93" s="25">
        <v>1.17423756497129</v>
      </c>
      <c r="D93" s="25">
        <v>1.20311490128144</v>
      </c>
      <c r="E93" s="25">
        <v>1.17949825298115</v>
      </c>
      <c r="F93" s="25">
        <v>1.19149252405259</v>
      </c>
      <c r="G93" s="25">
        <v>1.22728804023329</v>
      </c>
    </row>
    <row r="94" spans="1:7">
      <c r="A94" s="27">
        <v>0.92</v>
      </c>
      <c r="B94" s="25">
        <v>1.24134264383515</v>
      </c>
      <c r="C94" s="25">
        <v>1.17423756497129</v>
      </c>
      <c r="D94" s="25">
        <v>1.20334502624524</v>
      </c>
      <c r="E94" s="25">
        <v>1.17971943127053</v>
      </c>
      <c r="F94" s="25">
        <v>1.19168599036159</v>
      </c>
      <c r="G94" s="25">
        <v>1.23071268960375</v>
      </c>
    </row>
    <row r="95" spans="1:7">
      <c r="A95" s="27">
        <v>0.93</v>
      </c>
      <c r="B95" s="25">
        <v>1.24520965480817</v>
      </c>
      <c r="C95" s="25">
        <v>1.17423756497129</v>
      </c>
      <c r="D95" s="25">
        <v>1.20356373235917</v>
      </c>
      <c r="E95" s="25">
        <v>1.17992963310665</v>
      </c>
      <c r="F95" s="25">
        <v>1.19186404217293</v>
      </c>
      <c r="G95" s="25">
        <v>1.23426862790689</v>
      </c>
    </row>
    <row r="96" spans="1:7">
      <c r="A96" s="27">
        <v>0.9399999999999999</v>
      </c>
      <c r="B96" s="25">
        <v>1.24968379426706</v>
      </c>
      <c r="C96" s="25">
        <v>1.17423756497129</v>
      </c>
      <c r="D96" s="25">
        <v>1.2036369464822</v>
      </c>
      <c r="E96" s="25">
        <v>1.18</v>
      </c>
      <c r="F96" s="25">
        <v>1.19203492973977</v>
      </c>
      <c r="G96" s="25">
        <v>1.23875538443085</v>
      </c>
    </row>
    <row r="97" spans="1:7">
      <c r="A97" s="27">
        <v>0.95</v>
      </c>
      <c r="B97" s="25">
        <v>1.25486234844108</v>
      </c>
      <c r="C97" s="25">
        <v>1.17423756497129</v>
      </c>
      <c r="D97" s="25">
        <v>1.2036369464822</v>
      </c>
      <c r="E97" s="25">
        <v>1.18</v>
      </c>
      <c r="F97" s="25">
        <v>1.19221114439649</v>
      </c>
      <c r="G97" s="25">
        <v>1.24343712033255</v>
      </c>
    </row>
    <row r="98" spans="1:7">
      <c r="A98" s="27">
        <v>0.96</v>
      </c>
      <c r="B98" s="25">
        <v>1.26178839061027</v>
      </c>
      <c r="C98" s="25">
        <v>1.17423756497129</v>
      </c>
      <c r="D98" s="25">
        <v>1.2036369464822</v>
      </c>
      <c r="E98" s="25">
        <v>1.18</v>
      </c>
      <c r="F98" s="25">
        <v>1.19238252004493</v>
      </c>
      <c r="G98" s="25">
        <v>1.24990953335259</v>
      </c>
    </row>
    <row r="99" spans="1:7">
      <c r="A99" s="27">
        <v>0.97</v>
      </c>
      <c r="B99" s="25">
        <v>1.26929521566994</v>
      </c>
      <c r="C99" s="25">
        <v>1.17423756497129</v>
      </c>
      <c r="D99" s="25">
        <v>1.2036369464822</v>
      </c>
      <c r="E99" s="25">
        <v>1.18</v>
      </c>
      <c r="F99" s="25">
        <v>1.19257705643653</v>
      </c>
      <c r="G99" s="25">
        <v>1.25739889005156</v>
      </c>
    </row>
    <row r="100" spans="1:7">
      <c r="A100" s="27">
        <v>0.98</v>
      </c>
      <c r="B100" s="25">
        <v>1.2790721324203</v>
      </c>
      <c r="C100" s="25">
        <v>1.17423756497129</v>
      </c>
      <c r="D100" s="25">
        <v>1.2036369464822</v>
      </c>
      <c r="E100" s="25">
        <v>1.18</v>
      </c>
      <c r="F100" s="25">
        <v>1.192591</v>
      </c>
      <c r="G100" s="25">
        <v>1.26647708291247</v>
      </c>
    </row>
    <row r="101" spans="1:7">
      <c r="A101" s="27">
        <v>0.99</v>
      </c>
      <c r="B101" s="25">
        <v>1.29606383383886</v>
      </c>
      <c r="C101" s="25">
        <v>1.17423756497129</v>
      </c>
      <c r="D101" s="25">
        <v>1.2036369464822</v>
      </c>
      <c r="E101" s="25">
        <v>1.18</v>
      </c>
      <c r="F101" s="25">
        <v>1.192591</v>
      </c>
      <c r="G101" s="25">
        <v>1.2828389304407</v>
      </c>
    </row>
  </sheetData>
  <pageMargins left="0.4" right="0.4" top="0.5" bottom="0.5" header="0.3" footer="0.3"/>
  <pageSetup paperSize="9" fitToHeight="0" orientation="landscape"/>
  <drawing r:id="rId1"/>
</worksheet>
</file>

<file path=xl/worksheets/sheet6.xml><?xml version="1.0" encoding="utf-8"?>
<worksheet xmlns="http://schemas.openxmlformats.org/spreadsheetml/2006/main" xmlns:r="http://schemas.openxmlformats.org/officeDocument/2006/relationships">
  <sheetPr codeName="Sheet6">
    <pageSetUpPr fitToPage="1"/>
  </sheetPr>
  <dimension ref="A1:N26"/>
  <sheetViews>
    <sheetView showGridLines="0" workbookViewId="0"/>
  </sheetViews>
  <sheetFormatPr defaultRowHeight="15"/>
  <cols>
    <col min="1" max="1" width="9.7109375" customWidth="1"/>
    <col min="2" max="9" width="12.7109375" customWidth="1"/>
    <col min="10" max="10" width="3.7109375" customWidth="1"/>
    <col min="11" max="14" width="12.7109375" customWidth="1"/>
  </cols>
  <sheetData>
    <row r="1" spans="1:14">
      <c r="A1" s="21" t="s">
        <v>75</v>
      </c>
    </row>
    <row r="2" spans="1:14">
      <c r="A2" s="2" t="s">
        <v>76</v>
      </c>
    </row>
    <row r="4" spans="1:14">
      <c r="K4" s="4" t="s">
        <v>94</v>
      </c>
    </row>
    <row r="5" spans="1:14" ht="30" customHeight="1">
      <c r="A5" s="8" t="s">
        <v>77</v>
      </c>
      <c r="B5" s="8" t="s">
        <v>78</v>
      </c>
      <c r="C5" s="8" t="s">
        <v>79</v>
      </c>
      <c r="D5" s="8" t="s">
        <v>80</v>
      </c>
      <c r="E5" s="8" t="s">
        <v>81</v>
      </c>
      <c r="F5" s="8" t="s">
        <v>82</v>
      </c>
      <c r="G5" s="8" t="s">
        <v>83</v>
      </c>
      <c r="H5" s="8" t="s">
        <v>38</v>
      </c>
      <c r="I5" s="8" t="s">
        <v>84</v>
      </c>
      <c r="K5" s="8" t="s">
        <v>95</v>
      </c>
      <c r="L5" s="8" t="s">
        <v>86</v>
      </c>
      <c r="M5" s="8" t="s">
        <v>89</v>
      </c>
      <c r="N5" s="8" t="s">
        <v>91</v>
      </c>
    </row>
    <row r="6" spans="1:14">
      <c r="A6" s="5" t="s">
        <v>85</v>
      </c>
      <c r="B6" s="7">
        <v>0.01917808219178082</v>
      </c>
      <c r="C6" s="10">
        <v>3.85</v>
      </c>
      <c r="D6" s="10">
        <v>1.95</v>
      </c>
      <c r="E6" s="10">
        <v>6.9</v>
      </c>
      <c r="F6" s="10">
        <v>0.15</v>
      </c>
      <c r="G6" s="10">
        <v>0.12</v>
      </c>
      <c r="H6" s="16">
        <f>IF(B6="","",FX_FORWARD(B6))</f>
        <v>1.16542458420037</v>
      </c>
      <c r="I6" s="13">
        <f>IF(B6="","",FX_POINTS(B6))</f>
        <v>4.24584200368727</v>
      </c>
      <c r="K6" s="27">
        <v>-0.06</v>
      </c>
      <c r="L6" s="30">
        <f>100*FX_VOL(FX_FORWARD(1/12)*(1+$K6),1/12)</f>
        <v>7.424096</v>
      </c>
      <c r="M6" s="30">
        <f>100*FX_VOL(FX_FORWARD(0.5)*(1+$K6),0.5)</f>
        <v>7.86878414889627</v>
      </c>
      <c r="N6" s="30">
        <f>100*FX_VOL(FX_FORWARD(1)*(1+$K6),1)</f>
        <v>8.09577291742646</v>
      </c>
    </row>
    <row r="7" spans="1:14">
      <c r="A7" s="5" t="s">
        <v>86</v>
      </c>
      <c r="B7" s="7">
        <v>0.08333333333333333</v>
      </c>
      <c r="C7" s="10">
        <v>3.8</v>
      </c>
      <c r="D7" s="10">
        <v>1.95</v>
      </c>
      <c r="E7" s="10">
        <v>7.1</v>
      </c>
      <c r="F7" s="10">
        <v>0.2</v>
      </c>
      <c r="G7" s="10">
        <v>0.14</v>
      </c>
      <c r="H7" s="16">
        <f>IF(B7="","",FX_FORWARD(B7))</f>
        <v>1.16679742682718</v>
      </c>
      <c r="I7" s="13">
        <f>IF(B7="","",FX_POINTS(B7))</f>
        <v>17.9742682717854</v>
      </c>
      <c r="K7" s="27">
        <v>-0.054</v>
      </c>
      <c r="L7" s="30">
        <f>100*FX_VOL(FX_FORWARD(1/12)*(1+$K7),1/12)</f>
        <v>7.424096</v>
      </c>
      <c r="M7" s="30">
        <f>100*FX_VOL(FX_FORWARD(0.5)*(1+$K7),0.5)</f>
        <v>7.82941568925015</v>
      </c>
      <c r="N7" s="30">
        <f>100*FX_VOL(FX_FORWARD(1)*(1+$K7),1)</f>
        <v>8.06794824644412</v>
      </c>
    </row>
    <row r="8" spans="1:14">
      <c r="A8" s="5" t="s">
        <v>87</v>
      </c>
      <c r="B8" s="7">
        <v>0.1666666666666667</v>
      </c>
      <c r="C8" s="10">
        <v>3.75</v>
      </c>
      <c r="D8" s="10">
        <v>1.96</v>
      </c>
      <c r="E8" s="10">
        <v>7.25</v>
      </c>
      <c r="F8" s="10">
        <v>0.25</v>
      </c>
      <c r="G8" s="10">
        <v>0.16</v>
      </c>
      <c r="H8" s="16">
        <f>IF(B8="","",FX_FORWARD(B8))</f>
        <v>1.1684807729046</v>
      </c>
      <c r="I8" s="13">
        <f>IF(B8="","",FX_POINTS(B8))</f>
        <v>34.8077290459581</v>
      </c>
      <c r="K8" s="27">
        <v>-0.048</v>
      </c>
      <c r="L8" s="30">
        <f>100*FX_VOL(FX_FORWARD(1/12)*(1+$K8),1/12)</f>
        <v>7.424096</v>
      </c>
      <c r="M8" s="30">
        <f>100*FX_VOL(FX_FORWARD(0.5)*(1+$K8),0.5)</f>
        <v>7.78990751080647</v>
      </c>
      <c r="N8" s="30">
        <f>100*FX_VOL(FX_FORWARD(1)*(1+$K8),1)</f>
        <v>8.04294887701171</v>
      </c>
    </row>
    <row r="9" spans="1:14">
      <c r="A9" s="5" t="s">
        <v>88</v>
      </c>
      <c r="B9" s="7">
        <v>0.25</v>
      </c>
      <c r="C9" s="10">
        <v>3.7</v>
      </c>
      <c r="D9" s="10">
        <v>1.97</v>
      </c>
      <c r="E9" s="10">
        <v>7.4</v>
      </c>
      <c r="F9" s="10">
        <v>0.3</v>
      </c>
      <c r="G9" s="10">
        <v>0.18</v>
      </c>
      <c r="H9" s="16">
        <f>IF(B9="","",FX_FORWARD(B9))</f>
        <v>1.170049536752</v>
      </c>
      <c r="I9" s="13">
        <f>IF(B9="","",FX_POINTS(B9))</f>
        <v>50.4953675200026</v>
      </c>
      <c r="K9" s="27">
        <v>-0.042</v>
      </c>
      <c r="L9" s="30">
        <f>100*FX_VOL(FX_FORWARD(1/12)*(1+$K9),1/12)</f>
        <v>7.42057173455106</v>
      </c>
      <c r="M9" s="30">
        <f>100*FX_VOL(FX_FORWARD(0.5)*(1+$K9),0.5)</f>
        <v>7.75182742408518</v>
      </c>
      <c r="N9" s="30">
        <f>100*FX_VOL(FX_FORWARD(1)*(1+$K9),1)</f>
        <v>8.02161889590345</v>
      </c>
    </row>
    <row r="10" spans="1:14">
      <c r="A10" s="5" t="s">
        <v>89</v>
      </c>
      <c r="B10" s="7">
        <v>0.5</v>
      </c>
      <c r="C10" s="10">
        <v>3.55</v>
      </c>
      <c r="D10" s="10">
        <v>2</v>
      </c>
      <c r="E10" s="10">
        <v>7.7</v>
      </c>
      <c r="F10" s="10">
        <v>0.4</v>
      </c>
      <c r="G10" s="10">
        <v>0.21</v>
      </c>
      <c r="H10" s="16">
        <f>IF(B10="","",FX_FORWARD(B10))</f>
        <v>1.17406382696319</v>
      </c>
      <c r="I10" s="13">
        <f>IF(B10="","",FX_POINTS(B10))</f>
        <v>90.6382696318553</v>
      </c>
      <c r="K10" s="27">
        <v>-0.036</v>
      </c>
      <c r="L10" s="30">
        <f>100*FX_VOL(FX_FORWARD(1/12)*(1+$K10),1/12)</f>
        <v>7.38697811753911</v>
      </c>
      <c r="M10" s="30">
        <f>100*FX_VOL(FX_FORWARD(0.5)*(1+$K10),0.5)</f>
        <v>7.7170505221933</v>
      </c>
      <c r="N10" s="30">
        <f>100*FX_VOL(FX_FORWARD(1)*(1+$K10),1)</f>
        <v>8.00480547749194</v>
      </c>
    </row>
    <row r="11" spans="1:14">
      <c r="A11" s="5" t="s">
        <v>90</v>
      </c>
      <c r="B11" s="7">
        <v>0.75</v>
      </c>
      <c r="C11" s="10">
        <v>3.45</v>
      </c>
      <c r="D11" s="10">
        <v>2.03</v>
      </c>
      <c r="E11" s="10">
        <v>7.9</v>
      </c>
      <c r="F11" s="10">
        <v>0.45</v>
      </c>
      <c r="G11" s="10">
        <v>0.23</v>
      </c>
      <c r="H11" s="16">
        <f>IF(B11="","",FX_FORWARD(B11))</f>
        <v>1.17747355377561</v>
      </c>
      <c r="I11" s="13">
        <f>IF(B11="","",FX_POINTS(B11))</f>
        <v>124.735537756069</v>
      </c>
      <c r="K11" s="27">
        <v>-0.03</v>
      </c>
      <c r="L11" s="30">
        <f>100*FX_VOL(FX_FORWARD(1/12)*(1+$K11),1/12)</f>
        <v>7.3365599342</v>
      </c>
      <c r="M11" s="30">
        <f>100*FX_VOL(FX_FORWARD(0.5)*(1+$K11),0.5)</f>
        <v>7.68769505121874</v>
      </c>
      <c r="N11" s="30">
        <f>100*FX_VOL(FX_FORWARD(1)*(1+$K11),1)</f>
        <v>7.99331607657499</v>
      </c>
    </row>
    <row r="12" spans="1:14">
      <c r="A12" s="5" t="s">
        <v>91</v>
      </c>
      <c r="B12" s="7">
        <v>1</v>
      </c>
      <c r="C12" s="10">
        <v>3.35</v>
      </c>
      <c r="D12" s="10">
        <v>2.05</v>
      </c>
      <c r="E12" s="10">
        <v>8.050000000000001</v>
      </c>
      <c r="F12" s="10">
        <v>0.5</v>
      </c>
      <c r="G12" s="10">
        <v>0.25</v>
      </c>
      <c r="H12" s="16">
        <f>IF(B12="","",FX_FORWARD(B12))</f>
        <v>1.18024387047418</v>
      </c>
      <c r="I12" s="13">
        <f>IF(B12="","",FX_POINTS(B12))</f>
        <v>152.438704741777</v>
      </c>
      <c r="K12" s="27">
        <v>-0.02399999999999999</v>
      </c>
      <c r="L12" s="30">
        <f>100*FX_VOL(FX_FORWARD(1/12)*(1+$K12),1/12)</f>
        <v>7.26965279720542</v>
      </c>
      <c r="M12" s="30">
        <f>100*FX_VOL(FX_FORWARD(0.5)*(1+$K12),0.5)</f>
        <v>7.66599286632543</v>
      </c>
      <c r="N12" s="30">
        <f>100*FX_VOL(FX_FORWARD(1)*(1+$K12),1)</f>
        <v>7.98786857150749</v>
      </c>
    </row>
    <row r="13" spans="1:14">
      <c r="A13" s="5" t="s">
        <v>92</v>
      </c>
      <c r="B13" s="7">
        <v>1.5</v>
      </c>
      <c r="C13" s="10">
        <v>3.25</v>
      </c>
      <c r="D13" s="10">
        <v>2.1</v>
      </c>
      <c r="E13" s="10">
        <v>8.199999999999999</v>
      </c>
      <c r="F13" s="10">
        <v>0.5</v>
      </c>
      <c r="G13" s="10">
        <v>0.27</v>
      </c>
      <c r="H13" s="16">
        <f>IF(B13="","",FX_FORWARD(B13))</f>
        <v>1.18527058111757</v>
      </c>
      <c r="I13" s="13">
        <f>IF(B13="","",FX_POINTS(B13))</f>
        <v>202.705811175656</v>
      </c>
      <c r="K13" s="27">
        <v>-0.018</v>
      </c>
      <c r="L13" s="30">
        <f>100*FX_VOL(FX_FORWARD(1/12)*(1+$K13),1/12)</f>
        <v>7.19320536554343</v>
      </c>
      <c r="M13" s="30">
        <f>100*FX_VOL(FX_FORWARD(0.5)*(1+$K13),0.5)</f>
        <v>7.65408595379261</v>
      </c>
      <c r="N13" s="30">
        <f>100*FX_VOL(FX_FORWARD(1)*(1+$K13),1)</f>
        <v>7.98903925258274</v>
      </c>
    </row>
    <row r="14" spans="1:14">
      <c r="A14" s="5" t="s">
        <v>93</v>
      </c>
      <c r="B14" s="7">
        <v>2</v>
      </c>
      <c r="C14" s="10">
        <v>3.2</v>
      </c>
      <c r="D14" s="10">
        <v>2.15</v>
      </c>
      <c r="E14" s="10">
        <v>8.300000000000001</v>
      </c>
      <c r="F14" s="10">
        <v>0.5</v>
      </c>
      <c r="G14" s="10">
        <v>0.28</v>
      </c>
      <c r="H14" s="16">
        <f>IF(B14="","",FX_FORWARD(B14))</f>
        <v>1.18972369015772</v>
      </c>
      <c r="I14" s="13">
        <f>IF(B14="","",FX_POINTS(B14))</f>
        <v>247.23690157721</v>
      </c>
      <c r="K14" s="27">
        <v>-0.012</v>
      </c>
      <c r="L14" s="30">
        <f>100*FX_VOL(FX_FORWARD(1/12)*(1+$K14),1/12)</f>
        <v>7.12332216976374</v>
      </c>
      <c r="M14" s="30">
        <f>100*FX_VOL(FX_FORWARD(0.5)*(1+$K14),0.5)</f>
        <v>7.65376437384031</v>
      </c>
      <c r="N14" s="30">
        <f>100*FX_VOL(FX_FORWARD(1)*(1+$K14),1)</f>
        <v>7.99721564886366</v>
      </c>
    </row>
    <row r="15" spans="1:14">
      <c r="A15" s="5"/>
      <c r="B15" s="5"/>
      <c r="C15" s="5"/>
      <c r="D15" s="5"/>
      <c r="E15" s="5"/>
      <c r="F15" s="5"/>
      <c r="G15" s="5"/>
      <c r="K15" s="27">
        <v>-0.005999999999999998</v>
      </c>
      <c r="L15" s="30">
        <f>100*FX_VOL(FX_FORWARD(1/12)*(1+$K15),1/12)</f>
        <v>7.08420505210133</v>
      </c>
      <c r="M15" s="30">
        <f>100*FX_VOL(FX_FORWARD(0.5)*(1+$K15),0.5)</f>
        <v>7.66619502778407</v>
      </c>
      <c r="N15" s="30">
        <f>100*FX_VOL(FX_FORWARD(1)*(1+$K15),1)</f>
        <v>8.01256198075037</v>
      </c>
    </row>
    <row r="16" spans="1:14">
      <c r="A16" s="5"/>
      <c r="B16" s="5"/>
      <c r="C16" s="5"/>
      <c r="D16" s="5"/>
      <c r="E16" s="5"/>
      <c r="F16" s="5"/>
      <c r="G16" s="5"/>
      <c r="K16" s="27">
        <v>0</v>
      </c>
      <c r="L16" s="30">
        <f>100*FX_VOL(FX_FORWARD(1/12)*(1+$K16),1/12)</f>
        <v>7.09840248009846</v>
      </c>
      <c r="M16" s="30">
        <f>100*FX_VOL(FX_FORWARD(0.5)*(1+$K16),0.5)</f>
        <v>7.69171727090699</v>
      </c>
      <c r="N16" s="30">
        <f>100*FX_VOL(FX_FORWARD(1)*(1+$K16),1)</f>
        <v>8.03500376896011</v>
      </c>
    </row>
    <row r="17" spans="1:14">
      <c r="A17" s="5"/>
      <c r="B17" s="5"/>
      <c r="C17" s="5"/>
      <c r="D17" s="5"/>
      <c r="E17" s="5"/>
      <c r="F17" s="5"/>
      <c r="G17" s="5"/>
      <c r="K17" s="27">
        <v>0.006000000000000005</v>
      </c>
      <c r="L17" s="30">
        <f>100*FX_VOL(FX_FORWARD(1/12)*(1+$K17),1/12)</f>
        <v>7.17086862866033</v>
      </c>
      <c r="M17" s="30">
        <f>100*FX_VOL(FX_FORWARD(0.5)*(1+$K17),0.5)</f>
        <v>7.72977645984396</v>
      </c>
      <c r="N17" s="30">
        <f>100*FX_VOL(FX_FORWARD(1)*(1+$K17),1)</f>
        <v>8.0642348137933</v>
      </c>
    </row>
    <row r="18" spans="1:14">
      <c r="A18" s="5"/>
      <c r="B18" s="5"/>
      <c r="C18" s="5"/>
      <c r="D18" s="5"/>
      <c r="E18" s="5"/>
      <c r="F18" s="5"/>
      <c r="G18" s="5"/>
      <c r="K18" s="27">
        <v>0.01200000000000001</v>
      </c>
      <c r="L18" s="30">
        <f>100*FX_VOL(FX_FORWARD(1/12)*(1+$K18),1/12)</f>
        <v>7.28433248299227</v>
      </c>
      <c r="M18" s="30">
        <f>100*FX_VOL(FX_FORWARD(0.5)*(1+$K18),0.5)</f>
        <v>7.77902167957769</v>
      </c>
      <c r="N18" s="30">
        <f>100*FX_VOL(FX_FORWARD(1)*(1+$K18),1)</f>
        <v>8.09974530626339</v>
      </c>
    </row>
    <row r="19" spans="1:14">
      <c r="A19" s="5"/>
      <c r="B19" s="5"/>
      <c r="C19" s="5"/>
      <c r="D19" s="5"/>
      <c r="E19" s="5"/>
      <c r="F19" s="5"/>
      <c r="G19" s="5"/>
      <c r="K19" s="27">
        <v>0.018</v>
      </c>
      <c r="L19" s="30">
        <f>100*FX_VOL(FX_FORWARD(1/12)*(1+$K19),1/12)</f>
        <v>7.41250735792694</v>
      </c>
      <c r="M19" s="30">
        <f>100*FX_VOL(FX_FORWARD(0.5)*(1+$K19),0.5)</f>
        <v>7.83753202920595</v>
      </c>
      <c r="N19" s="30">
        <f>100*FX_VOL(FX_FORWARD(1)*(1+$K19),1)</f>
        <v>8.1408657569896</v>
      </c>
    </row>
    <row r="20" spans="1:14">
      <c r="A20" s="5"/>
      <c r="B20" s="5"/>
      <c r="C20" s="5"/>
      <c r="D20" s="5"/>
      <c r="E20" s="5"/>
      <c r="F20" s="5"/>
      <c r="G20" s="5"/>
      <c r="K20" s="27">
        <v>0.02400000000000001</v>
      </c>
      <c r="L20" s="30">
        <f>100*FX_VOL(FX_FORWARD(1/12)*(1+$K20),1/12)</f>
        <v>7.53398344922038</v>
      </c>
      <c r="M20" s="30">
        <f>100*FX_VOL(FX_FORWARD(0.5)*(1+$K20),0.5)</f>
        <v>7.9030953196571</v>
      </c>
      <c r="N20" s="30">
        <f>100*FX_VOL(FX_FORWARD(1)*(1+$K20),1)</f>
        <v>8.18681905903968</v>
      </c>
    </row>
    <row r="21" spans="1:14">
      <c r="K21" s="27">
        <v>0.03</v>
      </c>
      <c r="L21" s="30">
        <f>100*FX_VOL(FX_FORWARD(1/12)*(1+$K21),1/12)</f>
        <v>7.63655267734736</v>
      </c>
      <c r="M21" s="30">
        <f>100*FX_VOL(FX_FORWARD(0.5)*(1+$K21),0.5)</f>
        <v>7.97346376525574</v>
      </c>
      <c r="N21" s="30">
        <f>100*FX_VOL(FX_FORWARD(1)*(1+$K21),1)</f>
        <v>8.23677285441171</v>
      </c>
    </row>
    <row r="22" spans="1:14">
      <c r="K22" s="27">
        <v>0.036</v>
      </c>
      <c r="L22" s="30">
        <f>100*FX_VOL(FX_FORWARD(1/12)*(1+$K22),1/12)</f>
        <v>7.71577268466173</v>
      </c>
      <c r="M22" s="30">
        <f>100*FX_VOL(FX_FORWARD(0.5)*(1+$K22),0.5)</f>
        <v>8.04654168480632</v>
      </c>
      <c r="N22" s="30">
        <f>100*FX_VOL(FX_FORWARD(1)*(1+$K22),1)</f>
        <v>8.28988603902338</v>
      </c>
    </row>
    <row r="23" spans="1:14">
      <c r="K23" s="27">
        <v>0.04200000000000001</v>
      </c>
      <c r="L23" s="30">
        <f>100*FX_VOL(FX_FORWARD(1/12)*(1+$K23),1/12)</f>
        <v>7.77235028290619</v>
      </c>
      <c r="M23" s="30">
        <f>100*FX_VOL(FX_FORWARD(0.5)*(1+$K23),0.5)</f>
        <v>8.12049523296616</v>
      </c>
      <c r="N23" s="30">
        <f>100*FX_VOL(FX_FORWARD(1)*(1+$K23),1)</f>
        <v>8.34534577005879</v>
      </c>
    </row>
    <row r="24" spans="1:14">
      <c r="K24" s="27">
        <v>0.048</v>
      </c>
      <c r="L24" s="30">
        <f>100*FX_VOL(FX_FORWARD(1/12)*(1+$K24),1/12)</f>
        <v>7.808096</v>
      </c>
      <c r="M24" s="30">
        <f>100*FX_VOL(FX_FORWARD(0.5)*(1+$K24),0.5)</f>
        <v>8.19379699290179</v>
      </c>
      <c r="N24" s="30">
        <f>100*FX_VOL(FX_FORWARD(1)*(1+$K24),1)</f>
        <v>8.40239380293133</v>
      </c>
    </row>
    <row r="25" spans="1:14">
      <c r="K25" s="27">
        <v>0.05400000000000001</v>
      </c>
      <c r="L25" s="30">
        <f>100*FX_VOL(FX_FORWARD(1/12)*(1+$K25),1/12)</f>
        <v>7.808096</v>
      </c>
      <c r="M25" s="30">
        <f>100*FX_VOL(FX_FORWARD(0.5)*(1+$K25),0.5)</f>
        <v>8.26522629228165</v>
      </c>
      <c r="N25" s="30">
        <f>100*FX_VOL(FX_FORWARD(1)*(1+$K25),1)</f>
        <v>8.46034282120552</v>
      </c>
    </row>
    <row r="26" spans="1:14">
      <c r="K26" s="27">
        <v>0.06</v>
      </c>
      <c r="L26" s="30">
        <f>100*FX_VOL(FX_FORWARD(1/12)*(1+$K26),1/12)</f>
        <v>7.808096</v>
      </c>
      <c r="M26" s="30">
        <f>100*FX_VOL(FX_FORWARD(0.5)*(1+$K26),0.5)</f>
        <v>8.33384456208499</v>
      </c>
      <c r="N26" s="30">
        <f>100*FX_VOL(FX_FORWARD(1)*(1+$K26),1)</f>
        <v>8.51858445732272</v>
      </c>
    </row>
  </sheetData>
  <pageMargins left="0.4" right="0.4" top="0.5" bottom="0.5" header="0.3" footer="0.3"/>
  <pageSetup paperSize="9" orientation="landscape"/>
  <drawing r:id="rId1"/>
</worksheet>
</file>

<file path=xl/worksheets/sheet7.xml><?xml version="1.0" encoding="utf-8"?>
<worksheet xmlns="http://schemas.openxmlformats.org/spreadsheetml/2006/main" xmlns:r="http://schemas.openxmlformats.org/officeDocument/2006/relationships">
  <sheetPr codeName="Sheet7">
    <pageSetUpPr fitToPage="1"/>
  </sheetPr>
  <dimension ref="B3:B19"/>
  <sheetViews>
    <sheetView showGridLines="0" workbookViewId="0"/>
  </sheetViews>
  <sheetFormatPr defaultRowHeight="15"/>
  <cols>
    <col min="1" max="1" width="2.7109375" customWidth="1"/>
    <col min="2" max="2" width="120.7109375" customWidth="1"/>
  </cols>
  <sheetData>
    <row r="3" spans="2:2">
      <c r="B3" s="21" t="s">
        <v>105</v>
      </c>
    </row>
    <row r="4" spans="2:2" ht="62" customHeight="1">
      <c r="B4" s="23" t="s">
        <v>106</v>
      </c>
    </row>
    <row r="6" spans="2:2">
      <c r="B6" s="21" t="s">
        <v>107</v>
      </c>
    </row>
    <row r="7" spans="2:2" ht="62" customHeight="1">
      <c r="B7" s="23" t="s">
        <v>108</v>
      </c>
    </row>
    <row r="9" spans="2:2">
      <c r="B9" s="21" t="s">
        <v>109</v>
      </c>
    </row>
    <row r="10" spans="2:2" ht="62" customHeight="1">
      <c r="B10" s="23" t="s">
        <v>110</v>
      </c>
    </row>
    <row r="12" spans="2:2">
      <c r="B12" s="21" t="s">
        <v>111</v>
      </c>
    </row>
    <row r="13" spans="2:2" ht="62" customHeight="1">
      <c r="B13" s="23" t="s">
        <v>112</v>
      </c>
    </row>
    <row r="14" spans="2:2" ht="62" customHeight="1">
      <c r="B14" s="23" t="s">
        <v>113</v>
      </c>
    </row>
    <row r="15" spans="2:2" ht="62" customHeight="1">
      <c r="B15" s="23" t="s">
        <v>114</v>
      </c>
    </row>
    <row r="16" spans="2:2" ht="62" customHeight="1">
      <c r="B16" s="23" t="s">
        <v>115</v>
      </c>
    </row>
    <row r="18" spans="2:2">
      <c r="B18" s="21" t="s">
        <v>116</v>
      </c>
    </row>
    <row r="19" spans="2:2" ht="62" customHeight="1">
      <c r="B19" s="23" t="s">
        <v>117</v>
      </c>
    </row>
  </sheetData>
  <pageMargins left="0.4" right="0.4" top="0.5" bottom="0.5" header="0.3" footer="0.3"/>
  <pageSetup paperSize="9"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31</vt:i4>
      </vt:variant>
    </vt:vector>
  </HeadingPairs>
  <TitlesOfParts>
    <vt:vector size="38" baseType="lpstr">
      <vt:lpstr>Pricer</vt:lpstr>
      <vt:lpstr>Pitch</vt:lpstr>
      <vt:lpstr>Schedule</vt:lpstr>
      <vt:lpstr>Scenarios</vt:lpstr>
      <vt:lpstr>Distribution</vt:lpstr>
      <vt:lpstr>Market</vt:lpstr>
      <vt:lpstr>Notes</vt:lpstr>
      <vt:lpstr>AvgFwd</vt:lpstr>
      <vt:lpstr>Budget</vt:lpstr>
      <vt:lpstr>DistTop</vt:lpstr>
      <vt:lpstr>DriftView</vt:lpstr>
      <vt:lpstr>Giveup</vt:lpstr>
      <vt:lpstr>KOType</vt:lpstr>
      <vt:lpstr>Leverage</vt:lpstr>
      <vt:lpstr>MarginBp</vt:lpstr>
      <vt:lpstr>McTop</vt:lpstr>
      <vt:lpstr>MktTable</vt:lpstr>
      <vt:lpstr>NMonths</vt:lpstr>
      <vt:lpstr>Notional</vt:lpstr>
      <vt:lpstr>NPaths</vt:lpstr>
      <vt:lpstr>Participation</vt:lpstr>
      <vt:lpstr>PFStrike</vt:lpstr>
      <vt:lpstr>Phi</vt:lpstr>
      <vt:lpstr>PremFV</vt:lpstr>
      <vt:lpstr>Pitch!Print_Area</vt:lpstr>
      <vt:lpstr>Pricer!Print_Area</vt:lpstr>
      <vt:lpstr>Protect</vt:lpstr>
      <vt:lpstr>ScenTop</vt:lpstr>
      <vt:lpstr>Seed</vt:lpstr>
      <vt:lpstr>Side</vt:lpstr>
      <vt:lpstr>Spot</vt:lpstr>
      <vt:lpstr>Status</vt:lpstr>
      <vt:lpstr>TarfPV</vt:lpstr>
      <vt:lpstr>TarfStrike</vt:lpstr>
      <vt:lpstr>TarfTarget</vt:lpstr>
      <vt:lpstr>TarfTop</vt:lpstr>
      <vt:lpstr>TotalN</vt:lpstr>
      <vt:lpstr>VolShift</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FX Hedging Tool</dc:title>
  <dc:subject>Corporate FX hedging proposals</dc:subject>
  <dc:creator>Leo Yakass</dc:creator>
  <dc:description>Illustrative market data</dc:description>
  <cp:lastModifiedBy>Leo Yakass</cp:lastModifiedBy>
  <dcterms:created xsi:type="dcterms:W3CDTF">2026-10-22T09:53:09Z</dcterms:created>
  <dcterms:modified xsi:type="dcterms:W3CDTF">2026-10-22T09:53:09Z</dcterms:modified>
</cp:coreProperties>
</file>